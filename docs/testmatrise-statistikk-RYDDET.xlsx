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4978" documentId="11_51616903D3FE61532AC6CE12525ED87656CDD38C" xr6:coauthVersionLast="47" xr6:coauthVersionMax="47" xr10:uidLastSave="{99BEC39C-401C-404B-A5C5-4C95FF2E5238}"/>
  <bookViews>
    <workbookView xWindow="0" yWindow="0" windowWidth="0" windowHeight="0" firstSheet="7" activeTab="4" xr2:uid="{00000000-000D-0000-FFFF-FFFF00000000}"/>
  </bookViews>
  <sheets>
    <sheet name="DATA - IKKE RØR" sheetId="2" r:id="rId1"/>
    <sheet name="ICAO &quot;no weather&quot;" sheetId="15" r:id="rId2"/>
    <sheet name="METCM (Meteomatics)" sheetId="10" r:id="rId3"/>
    <sheet name="METCM (from METGM)" sheetId="13" r:id="rId4"/>
    <sheet name="METCM (from METGC)" sheetId="14" r:id="rId5"/>
    <sheet name="Statistikk" sheetId="16" r:id="rId6"/>
    <sheet name="Statistikk-tidsbasert" sheetId="17" r:id="rId7"/>
    <sheet name="Statistikk-tidsbasert (2)" sheetId="1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6" l="1"/>
  <c r="M10" i="16"/>
  <c r="N134" i="18"/>
  <c r="M134" i="18"/>
  <c r="L134" i="18"/>
  <c r="K134" i="18"/>
  <c r="J134" i="18"/>
  <c r="I134" i="18"/>
  <c r="N133" i="18"/>
  <c r="M133" i="18"/>
  <c r="L133" i="18"/>
  <c r="K133" i="18"/>
  <c r="J133" i="18"/>
  <c r="I133" i="18"/>
  <c r="N132" i="18"/>
  <c r="M132" i="18"/>
  <c r="L132" i="18"/>
  <c r="K132" i="18"/>
  <c r="J132" i="18"/>
  <c r="I132" i="18"/>
  <c r="N131" i="18"/>
  <c r="M131" i="18"/>
  <c r="L131" i="18"/>
  <c r="K131" i="18"/>
  <c r="J131" i="18"/>
  <c r="I131" i="18"/>
  <c r="N130" i="18"/>
  <c r="M130" i="18"/>
  <c r="L130" i="18"/>
  <c r="K130" i="18"/>
  <c r="J130" i="18"/>
  <c r="I130" i="18"/>
  <c r="N129" i="18"/>
  <c r="M129" i="18"/>
  <c r="L129" i="18"/>
  <c r="K129" i="18"/>
  <c r="J129" i="18"/>
  <c r="I129" i="18"/>
  <c r="N125" i="18"/>
  <c r="M125" i="18"/>
  <c r="L125" i="18"/>
  <c r="K125" i="18"/>
  <c r="J125" i="18"/>
  <c r="I125" i="18"/>
  <c r="N124" i="18"/>
  <c r="M124" i="18"/>
  <c r="L124" i="18"/>
  <c r="K124" i="18"/>
  <c r="J124" i="18"/>
  <c r="I124" i="18"/>
  <c r="N123" i="18"/>
  <c r="M123" i="18"/>
  <c r="L123" i="18"/>
  <c r="K123" i="18"/>
  <c r="J123" i="18"/>
  <c r="I123" i="18"/>
  <c r="N122" i="18"/>
  <c r="M122" i="18"/>
  <c r="L122" i="18"/>
  <c r="K122" i="18"/>
  <c r="J122" i="18"/>
  <c r="I122" i="18"/>
  <c r="N121" i="18"/>
  <c r="M121" i="18"/>
  <c r="L121" i="18"/>
  <c r="K121" i="18"/>
  <c r="J121" i="18"/>
  <c r="I121" i="18"/>
  <c r="N120" i="18"/>
  <c r="M120" i="18"/>
  <c r="L120" i="18"/>
  <c r="K120" i="18"/>
  <c r="J120" i="18"/>
  <c r="I120" i="18"/>
  <c r="N116" i="18"/>
  <c r="M116" i="18"/>
  <c r="L116" i="18"/>
  <c r="K116" i="18"/>
  <c r="J116" i="18"/>
  <c r="I116" i="18"/>
  <c r="N115" i="18"/>
  <c r="M115" i="18"/>
  <c r="L115" i="18"/>
  <c r="K115" i="18"/>
  <c r="J115" i="18"/>
  <c r="I115" i="18"/>
  <c r="N114" i="18"/>
  <c r="M114" i="18"/>
  <c r="L114" i="18"/>
  <c r="K114" i="18"/>
  <c r="J114" i="18"/>
  <c r="I114" i="18"/>
  <c r="N113" i="18"/>
  <c r="M113" i="18"/>
  <c r="L113" i="18"/>
  <c r="K113" i="18"/>
  <c r="J113" i="18"/>
  <c r="I113" i="18"/>
  <c r="N112" i="18"/>
  <c r="M112" i="18"/>
  <c r="L112" i="18"/>
  <c r="K112" i="18"/>
  <c r="J112" i="18"/>
  <c r="I112" i="18"/>
  <c r="N111" i="18"/>
  <c r="M111" i="18"/>
  <c r="L111" i="18"/>
  <c r="K111" i="18"/>
  <c r="J111" i="18"/>
  <c r="I111" i="18"/>
  <c r="N107" i="18"/>
  <c r="M107" i="18"/>
  <c r="L107" i="18"/>
  <c r="K107" i="18"/>
  <c r="J107" i="18"/>
  <c r="I107" i="18"/>
  <c r="N106" i="18"/>
  <c r="M106" i="18"/>
  <c r="L106" i="18"/>
  <c r="K106" i="18"/>
  <c r="J106" i="18"/>
  <c r="I106" i="18"/>
  <c r="N105" i="18"/>
  <c r="M105" i="18"/>
  <c r="L105" i="18"/>
  <c r="K105" i="18"/>
  <c r="J105" i="18"/>
  <c r="I105" i="18"/>
  <c r="N104" i="18"/>
  <c r="M104" i="18"/>
  <c r="L104" i="18"/>
  <c r="K104" i="18"/>
  <c r="J104" i="18"/>
  <c r="I104" i="18"/>
  <c r="N103" i="18"/>
  <c r="M103" i="18"/>
  <c r="L103" i="18"/>
  <c r="K103" i="18"/>
  <c r="J103" i="18"/>
  <c r="I103" i="18"/>
  <c r="N102" i="18"/>
  <c r="M102" i="18"/>
  <c r="L102" i="18"/>
  <c r="K102" i="18"/>
  <c r="J102" i="18"/>
  <c r="I102" i="18"/>
  <c r="N98" i="18"/>
  <c r="M98" i="18"/>
  <c r="L98" i="18"/>
  <c r="K98" i="18"/>
  <c r="J98" i="18"/>
  <c r="I98" i="18"/>
  <c r="N97" i="18"/>
  <c r="M97" i="18"/>
  <c r="L97" i="18"/>
  <c r="K97" i="18"/>
  <c r="J97" i="18"/>
  <c r="I97" i="18"/>
  <c r="N96" i="18"/>
  <c r="M96" i="18"/>
  <c r="L96" i="18"/>
  <c r="K96" i="18"/>
  <c r="J96" i="18"/>
  <c r="I96" i="18"/>
  <c r="N95" i="18"/>
  <c r="M95" i="18"/>
  <c r="L95" i="18"/>
  <c r="K95" i="18"/>
  <c r="J95" i="18"/>
  <c r="I95" i="18"/>
  <c r="N94" i="18"/>
  <c r="M94" i="18"/>
  <c r="L94" i="18"/>
  <c r="K94" i="18"/>
  <c r="J94" i="18"/>
  <c r="I94" i="18"/>
  <c r="N93" i="18"/>
  <c r="M93" i="18"/>
  <c r="L93" i="18"/>
  <c r="K93" i="18"/>
  <c r="J93" i="18"/>
  <c r="I93" i="18"/>
  <c r="N89" i="18"/>
  <c r="M89" i="18"/>
  <c r="L89" i="18"/>
  <c r="K89" i="18"/>
  <c r="J89" i="18"/>
  <c r="I89" i="18"/>
  <c r="N88" i="18"/>
  <c r="M88" i="18"/>
  <c r="L88" i="18"/>
  <c r="K88" i="18"/>
  <c r="J88" i="18"/>
  <c r="I88" i="18"/>
  <c r="N87" i="18"/>
  <c r="M87" i="18"/>
  <c r="L87" i="18"/>
  <c r="K87" i="18"/>
  <c r="J87" i="18"/>
  <c r="I87" i="18"/>
  <c r="N86" i="18"/>
  <c r="M86" i="18"/>
  <c r="L86" i="18"/>
  <c r="K86" i="18"/>
  <c r="J86" i="18"/>
  <c r="I86" i="18"/>
  <c r="N85" i="18"/>
  <c r="M85" i="18"/>
  <c r="L85" i="18"/>
  <c r="K85" i="18"/>
  <c r="J85" i="18"/>
  <c r="I85" i="18"/>
  <c r="N84" i="18"/>
  <c r="M84" i="18"/>
  <c r="L84" i="18"/>
  <c r="K84" i="18"/>
  <c r="J84" i="18"/>
  <c r="I84" i="18"/>
  <c r="N80" i="18"/>
  <c r="M80" i="18"/>
  <c r="L80" i="18"/>
  <c r="K80" i="18"/>
  <c r="J80" i="18"/>
  <c r="I80" i="18"/>
  <c r="N79" i="18"/>
  <c r="M79" i="18"/>
  <c r="L79" i="18"/>
  <c r="K79" i="18"/>
  <c r="J79" i="18"/>
  <c r="I79" i="18"/>
  <c r="N78" i="18"/>
  <c r="M78" i="18"/>
  <c r="L78" i="18"/>
  <c r="K78" i="18"/>
  <c r="J78" i="18"/>
  <c r="I78" i="18"/>
  <c r="N77" i="18"/>
  <c r="M77" i="18"/>
  <c r="L77" i="18"/>
  <c r="K77" i="18"/>
  <c r="J77" i="18"/>
  <c r="I77" i="18"/>
  <c r="N76" i="18"/>
  <c r="M76" i="18"/>
  <c r="L76" i="18"/>
  <c r="K76" i="18"/>
  <c r="J76" i="18"/>
  <c r="I76" i="18"/>
  <c r="N75" i="18"/>
  <c r="M75" i="18"/>
  <c r="L75" i="18"/>
  <c r="K75" i="18"/>
  <c r="J75" i="18"/>
  <c r="I75" i="18"/>
  <c r="N71" i="18"/>
  <c r="M71" i="18"/>
  <c r="L71" i="18"/>
  <c r="K71" i="18"/>
  <c r="J71" i="18"/>
  <c r="I71" i="18"/>
  <c r="N70" i="18"/>
  <c r="M70" i="18"/>
  <c r="L70" i="18"/>
  <c r="K70" i="18"/>
  <c r="J70" i="18"/>
  <c r="I70" i="18"/>
  <c r="N69" i="18"/>
  <c r="M69" i="18"/>
  <c r="L69" i="18"/>
  <c r="K69" i="18"/>
  <c r="J69" i="18"/>
  <c r="I69" i="18"/>
  <c r="N68" i="18"/>
  <c r="M68" i="18"/>
  <c r="L68" i="18"/>
  <c r="K68" i="18"/>
  <c r="J68" i="18"/>
  <c r="I68" i="18"/>
  <c r="N67" i="18"/>
  <c r="M67" i="18"/>
  <c r="L67" i="18"/>
  <c r="K67" i="18"/>
  <c r="J67" i="18"/>
  <c r="I67" i="18"/>
  <c r="N66" i="18"/>
  <c r="M66" i="18"/>
  <c r="L66" i="18"/>
  <c r="K66" i="18"/>
  <c r="J66" i="18"/>
  <c r="I66" i="18"/>
  <c r="N62" i="18"/>
  <c r="M62" i="18"/>
  <c r="L62" i="18"/>
  <c r="K62" i="18"/>
  <c r="J62" i="18"/>
  <c r="I62" i="18"/>
  <c r="N61" i="18"/>
  <c r="M61" i="18"/>
  <c r="L61" i="18"/>
  <c r="K61" i="18"/>
  <c r="J61" i="18"/>
  <c r="I61" i="18"/>
  <c r="N60" i="18"/>
  <c r="M60" i="18"/>
  <c r="L60" i="18"/>
  <c r="K60" i="18"/>
  <c r="J60" i="18"/>
  <c r="I60" i="18"/>
  <c r="N59" i="18"/>
  <c r="M59" i="18"/>
  <c r="L59" i="18"/>
  <c r="K59" i="18"/>
  <c r="J59" i="18"/>
  <c r="I59" i="18"/>
  <c r="N58" i="18"/>
  <c r="M58" i="18"/>
  <c r="L58" i="18"/>
  <c r="K58" i="18"/>
  <c r="J58" i="18"/>
  <c r="I58" i="18"/>
  <c r="N57" i="18"/>
  <c r="M57" i="18"/>
  <c r="L57" i="18"/>
  <c r="K57" i="18"/>
  <c r="J57" i="18"/>
  <c r="I57" i="18"/>
  <c r="N53" i="18"/>
  <c r="M53" i="18"/>
  <c r="L53" i="18"/>
  <c r="K53" i="18"/>
  <c r="J53" i="18"/>
  <c r="I53" i="18"/>
  <c r="N52" i="18"/>
  <c r="M52" i="18"/>
  <c r="L52" i="18"/>
  <c r="K52" i="18"/>
  <c r="J52" i="18"/>
  <c r="I52" i="18"/>
  <c r="N51" i="18"/>
  <c r="M51" i="18"/>
  <c r="L51" i="18"/>
  <c r="K51" i="18"/>
  <c r="J51" i="18"/>
  <c r="I51" i="18"/>
  <c r="N50" i="18"/>
  <c r="M50" i="18"/>
  <c r="L50" i="18"/>
  <c r="K50" i="18"/>
  <c r="J50" i="18"/>
  <c r="I50" i="18"/>
  <c r="N49" i="18"/>
  <c r="M49" i="18"/>
  <c r="L49" i="18"/>
  <c r="K49" i="18"/>
  <c r="J49" i="18"/>
  <c r="I49" i="18"/>
  <c r="N48" i="18"/>
  <c r="M48" i="18"/>
  <c r="L48" i="18"/>
  <c r="K48" i="18"/>
  <c r="J48" i="18"/>
  <c r="I48" i="18"/>
  <c r="N44" i="18"/>
  <c r="M44" i="18"/>
  <c r="L44" i="18"/>
  <c r="K44" i="18"/>
  <c r="J44" i="18"/>
  <c r="I44" i="18"/>
  <c r="N43" i="18"/>
  <c r="M43" i="18"/>
  <c r="L43" i="18"/>
  <c r="K43" i="18"/>
  <c r="J43" i="18"/>
  <c r="I43" i="18"/>
  <c r="N42" i="18"/>
  <c r="M42" i="18"/>
  <c r="L42" i="18"/>
  <c r="K42" i="18"/>
  <c r="J42" i="18"/>
  <c r="I42" i="18"/>
  <c r="N41" i="18"/>
  <c r="M41" i="18"/>
  <c r="L41" i="18"/>
  <c r="K41" i="18"/>
  <c r="J41" i="18"/>
  <c r="I41" i="18"/>
  <c r="N40" i="18"/>
  <c r="M40" i="18"/>
  <c r="L40" i="18"/>
  <c r="K40" i="18"/>
  <c r="J40" i="18"/>
  <c r="I40" i="18"/>
  <c r="N39" i="18"/>
  <c r="M39" i="18"/>
  <c r="L39" i="18"/>
  <c r="K39" i="18"/>
  <c r="J39" i="18"/>
  <c r="I39" i="18"/>
  <c r="N35" i="18"/>
  <c r="M35" i="18"/>
  <c r="L35" i="18"/>
  <c r="K35" i="18"/>
  <c r="J35" i="18"/>
  <c r="I35" i="18"/>
  <c r="N34" i="18"/>
  <c r="M34" i="18"/>
  <c r="L34" i="18"/>
  <c r="K34" i="18"/>
  <c r="J34" i="18"/>
  <c r="I34" i="18"/>
  <c r="N33" i="18"/>
  <c r="M33" i="18"/>
  <c r="L33" i="18"/>
  <c r="K33" i="18"/>
  <c r="J33" i="18"/>
  <c r="I33" i="18"/>
  <c r="N32" i="18"/>
  <c r="M32" i="18"/>
  <c r="L32" i="18"/>
  <c r="K32" i="18"/>
  <c r="J32" i="18"/>
  <c r="I32" i="18"/>
  <c r="N31" i="18"/>
  <c r="M31" i="18"/>
  <c r="L31" i="18"/>
  <c r="K31" i="18"/>
  <c r="J31" i="18"/>
  <c r="I31" i="18"/>
  <c r="N30" i="18"/>
  <c r="M30" i="18"/>
  <c r="L30" i="18"/>
  <c r="K30" i="18"/>
  <c r="J30" i="18"/>
  <c r="I30" i="18"/>
  <c r="N26" i="18"/>
  <c r="M26" i="18"/>
  <c r="L26" i="18"/>
  <c r="K26" i="18"/>
  <c r="J26" i="18"/>
  <c r="I26" i="18"/>
  <c r="N25" i="18"/>
  <c r="M25" i="18"/>
  <c r="L25" i="18"/>
  <c r="K25" i="18"/>
  <c r="J25" i="18"/>
  <c r="I25" i="18"/>
  <c r="N24" i="18"/>
  <c r="M24" i="18"/>
  <c r="L24" i="18"/>
  <c r="K24" i="18"/>
  <c r="J24" i="18"/>
  <c r="I24" i="18"/>
  <c r="N23" i="18"/>
  <c r="M23" i="18"/>
  <c r="L23" i="18"/>
  <c r="K23" i="18"/>
  <c r="J23" i="18"/>
  <c r="I23" i="18"/>
  <c r="N22" i="18"/>
  <c r="M22" i="18"/>
  <c r="L22" i="18"/>
  <c r="K22" i="18"/>
  <c r="J22" i="18"/>
  <c r="I22" i="18"/>
  <c r="N21" i="18"/>
  <c r="M21" i="18"/>
  <c r="L21" i="18"/>
  <c r="K21" i="18"/>
  <c r="J21" i="18"/>
  <c r="I21" i="18"/>
  <c r="N17" i="18"/>
  <c r="M17" i="18"/>
  <c r="L17" i="18"/>
  <c r="K17" i="18"/>
  <c r="J17" i="18"/>
  <c r="I17" i="18"/>
  <c r="N16" i="18"/>
  <c r="M16" i="18"/>
  <c r="L16" i="18"/>
  <c r="K16" i="18"/>
  <c r="J16" i="18"/>
  <c r="I16" i="18"/>
  <c r="N15" i="18"/>
  <c r="M15" i="18"/>
  <c r="L15" i="18"/>
  <c r="K15" i="18"/>
  <c r="J15" i="18"/>
  <c r="I15" i="18"/>
  <c r="N14" i="18"/>
  <c r="M14" i="18"/>
  <c r="L14" i="18"/>
  <c r="K14" i="18"/>
  <c r="J14" i="18"/>
  <c r="I14" i="18"/>
  <c r="N13" i="18"/>
  <c r="M13" i="18"/>
  <c r="L13" i="18"/>
  <c r="K13" i="18"/>
  <c r="J13" i="18"/>
  <c r="I13" i="18"/>
  <c r="N12" i="18"/>
  <c r="M12" i="18"/>
  <c r="L12" i="18"/>
  <c r="K12" i="18"/>
  <c r="J12" i="18"/>
  <c r="I12" i="18"/>
  <c r="N8" i="18"/>
  <c r="M8" i="18"/>
  <c r="L8" i="18"/>
  <c r="K8" i="18"/>
  <c r="J8" i="18"/>
  <c r="I8" i="18"/>
  <c r="N7" i="18"/>
  <c r="M7" i="18"/>
  <c r="L7" i="18"/>
  <c r="K7" i="18"/>
  <c r="J7" i="18"/>
  <c r="I7" i="18"/>
  <c r="N6" i="18"/>
  <c r="M6" i="18"/>
  <c r="L6" i="18"/>
  <c r="K6" i="18"/>
  <c r="J6" i="18"/>
  <c r="I6" i="18"/>
  <c r="N5" i="18"/>
  <c r="M5" i="18"/>
  <c r="L5" i="18"/>
  <c r="K5" i="18"/>
  <c r="J5" i="18"/>
  <c r="I5" i="18"/>
  <c r="N4" i="18"/>
  <c r="M4" i="18"/>
  <c r="L4" i="18"/>
  <c r="K4" i="18"/>
  <c r="J4" i="18"/>
  <c r="I4" i="18"/>
  <c r="N3" i="18"/>
  <c r="M3" i="18"/>
  <c r="L3" i="18"/>
  <c r="K3" i="18"/>
  <c r="J3" i="18"/>
  <c r="I3" i="18"/>
  <c r="N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M26" i="17"/>
  <c r="M25" i="17"/>
  <c r="M24" i="17"/>
  <c r="M23" i="17"/>
  <c r="M21" i="17"/>
  <c r="M22" i="17"/>
  <c r="K26" i="17"/>
  <c r="K25" i="17"/>
  <c r="K24" i="17"/>
  <c r="K23" i="17"/>
  <c r="K21" i="17"/>
  <c r="K22" i="17"/>
  <c r="K17" i="17"/>
  <c r="K16" i="17"/>
  <c r="K15" i="17"/>
  <c r="K14" i="17"/>
  <c r="K12" i="17"/>
  <c r="K13" i="17"/>
  <c r="M17" i="17"/>
  <c r="M16" i="17"/>
  <c r="M15" i="17"/>
  <c r="M14" i="17"/>
  <c r="M12" i="17"/>
  <c r="M13" i="17"/>
  <c r="M8" i="17"/>
  <c r="M7" i="17"/>
  <c r="M6" i="17"/>
  <c r="M5" i="17"/>
  <c r="M3" i="17"/>
  <c r="M4" i="17"/>
  <c r="K8" i="17"/>
  <c r="K7" i="17"/>
  <c r="K6" i="17"/>
  <c r="K5" i="17"/>
  <c r="K3" i="17"/>
  <c r="K4" i="17"/>
  <c r="I3" i="17"/>
  <c r="I4" i="17"/>
  <c r="I17" i="17"/>
  <c r="I16" i="17"/>
  <c r="I15" i="17"/>
  <c r="I14" i="17"/>
  <c r="I12" i="17"/>
  <c r="I13" i="17"/>
  <c r="I26" i="17"/>
  <c r="I25" i="17"/>
  <c r="I24" i="17"/>
  <c r="I23" i="17"/>
  <c r="I21" i="17"/>
  <c r="I22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M134" i="17"/>
  <c r="M133" i="17"/>
  <c r="M132" i="17"/>
  <c r="M131" i="17"/>
  <c r="M129" i="17"/>
  <c r="M130" i="17"/>
  <c r="M125" i="17"/>
  <c r="M124" i="17"/>
  <c r="M123" i="17"/>
  <c r="M122" i="17"/>
  <c r="M120" i="17"/>
  <c r="M121" i="17"/>
  <c r="M116" i="17"/>
  <c r="M115" i="17"/>
  <c r="M114" i="17"/>
  <c r="M113" i="17"/>
  <c r="M111" i="17"/>
  <c r="M112" i="17"/>
  <c r="M107" i="17"/>
  <c r="M106" i="17"/>
  <c r="M105" i="17"/>
  <c r="M104" i="17"/>
  <c r="M102" i="17"/>
  <c r="M103" i="17"/>
  <c r="M98" i="17"/>
  <c r="M97" i="17"/>
  <c r="M96" i="17"/>
  <c r="M95" i="17"/>
  <c r="M93" i="17"/>
  <c r="M94" i="17"/>
  <c r="M89" i="17"/>
  <c r="M88" i="17"/>
  <c r="M87" i="17"/>
  <c r="M86" i="17"/>
  <c r="M84" i="17"/>
  <c r="M85" i="17"/>
  <c r="M80" i="17"/>
  <c r="M79" i="17"/>
  <c r="M78" i="17"/>
  <c r="M77" i="17"/>
  <c r="M75" i="17"/>
  <c r="M76" i="17"/>
  <c r="M71" i="17"/>
  <c r="M70" i="17"/>
  <c r="M69" i="17"/>
  <c r="M68" i="17"/>
  <c r="M66" i="17"/>
  <c r="M67" i="17"/>
  <c r="M57" i="17"/>
  <c r="M58" i="17"/>
  <c r="M53" i="17"/>
  <c r="M52" i="17"/>
  <c r="M51" i="17"/>
  <c r="M50" i="17"/>
  <c r="M48" i="17"/>
  <c r="M49" i="17"/>
  <c r="M44" i="17"/>
  <c r="M43" i="17"/>
  <c r="M42" i="17"/>
  <c r="M41" i="17"/>
  <c r="M39" i="17"/>
  <c r="M40" i="17"/>
  <c r="M35" i="17"/>
  <c r="M34" i="17"/>
  <c r="M33" i="17"/>
  <c r="M32" i="17"/>
  <c r="M30" i="17"/>
  <c r="M31" i="17"/>
  <c r="K30" i="17"/>
  <c r="K31" i="17"/>
  <c r="K134" i="17"/>
  <c r="K133" i="17"/>
  <c r="K132" i="17"/>
  <c r="K131" i="17"/>
  <c r="K129" i="17"/>
  <c r="K130" i="17"/>
  <c r="K125" i="17"/>
  <c r="K124" i="17"/>
  <c r="K122" i="17"/>
  <c r="K123" i="17"/>
  <c r="K120" i="17"/>
  <c r="K121" i="17"/>
  <c r="K116" i="17"/>
  <c r="K115" i="17"/>
  <c r="K114" i="17"/>
  <c r="K113" i="17"/>
  <c r="K111" i="17"/>
  <c r="K112" i="17"/>
  <c r="K107" i="17"/>
  <c r="K106" i="17"/>
  <c r="K105" i="17"/>
  <c r="K104" i="17"/>
  <c r="K102" i="17"/>
  <c r="K103" i="17"/>
  <c r="K98" i="17"/>
  <c r="K97" i="17"/>
  <c r="K96" i="17"/>
  <c r="K95" i="17"/>
  <c r="K93" i="17"/>
  <c r="K94" i="17"/>
  <c r="K89" i="17"/>
  <c r="K88" i="17"/>
  <c r="K87" i="17"/>
  <c r="K86" i="17"/>
  <c r="K84" i="17"/>
  <c r="K85" i="17"/>
  <c r="K80" i="17"/>
  <c r="K78" i="17"/>
  <c r="K79" i="17"/>
  <c r="K77" i="17"/>
  <c r="K75" i="17"/>
  <c r="K76" i="17"/>
  <c r="K71" i="17"/>
  <c r="K70" i="17"/>
  <c r="K69" i="17"/>
  <c r="K68" i="17"/>
  <c r="K66" i="17"/>
  <c r="K67" i="17"/>
  <c r="K57" i="17"/>
  <c r="K58" i="17"/>
  <c r="K53" i="17"/>
  <c r="K52" i="17"/>
  <c r="K51" i="17"/>
  <c r="K50" i="17"/>
  <c r="K48" i="17"/>
  <c r="K49" i="17"/>
  <c r="K44" i="17"/>
  <c r="K43" i="17"/>
  <c r="K42" i="17"/>
  <c r="K41" i="17"/>
  <c r="K40" i="17"/>
  <c r="K3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102" i="17"/>
  <c r="J103" i="17"/>
  <c r="J104" i="17"/>
  <c r="J105" i="17"/>
  <c r="J106" i="17"/>
  <c r="J107" i="17"/>
  <c r="J108" i="17"/>
  <c r="J109" i="17"/>
  <c r="J110" i="17"/>
  <c r="J111" i="17"/>
  <c r="J112" i="17"/>
  <c r="J113" i="17"/>
  <c r="J114" i="17"/>
  <c r="J115" i="17"/>
  <c r="J116" i="17"/>
  <c r="J117" i="17"/>
  <c r="J118" i="17"/>
  <c r="J119" i="17"/>
  <c r="J120" i="17"/>
  <c r="J121" i="17"/>
  <c r="J122" i="17"/>
  <c r="J123" i="17"/>
  <c r="J124" i="17"/>
  <c r="J125" i="17"/>
  <c r="J126" i="17"/>
  <c r="J127" i="17"/>
  <c r="J128" i="17"/>
  <c r="J129" i="17"/>
  <c r="J130" i="17"/>
  <c r="J131" i="17"/>
  <c r="J132" i="17"/>
  <c r="J133" i="17"/>
  <c r="J134" i="17"/>
  <c r="J135" i="17"/>
  <c r="J136" i="17"/>
  <c r="J137" i="17"/>
  <c r="I129" i="17"/>
  <c r="I130" i="17"/>
  <c r="I120" i="17"/>
  <c r="I121" i="17"/>
  <c r="I111" i="17"/>
  <c r="I112" i="17"/>
  <c r="I102" i="17"/>
  <c r="I103" i="17"/>
  <c r="I93" i="17"/>
  <c r="I94" i="17"/>
  <c r="I84" i="17"/>
  <c r="I85" i="17"/>
  <c r="I75" i="17"/>
  <c r="I76" i="17"/>
  <c r="I66" i="17"/>
  <c r="I67" i="17"/>
  <c r="I57" i="17"/>
  <c r="I58" i="17"/>
  <c r="I48" i="17"/>
  <c r="I49" i="17"/>
  <c r="I39" i="17"/>
  <c r="I40" i="17"/>
  <c r="I30" i="17"/>
  <c r="I31" i="17"/>
  <c r="K35" i="17"/>
  <c r="K34" i="17"/>
  <c r="K33" i="17"/>
  <c r="K32" i="17"/>
  <c r="I35" i="17"/>
  <c r="I34" i="17"/>
  <c r="I33" i="17"/>
  <c r="I32" i="17"/>
  <c r="I44" i="17"/>
  <c r="I43" i="17"/>
  <c r="I42" i="17"/>
  <c r="I41" i="17"/>
  <c r="I53" i="17"/>
  <c r="I52" i="17"/>
  <c r="I51" i="17"/>
  <c r="I50" i="17"/>
  <c r="I134" i="17"/>
  <c r="I133" i="17"/>
  <c r="I132" i="17"/>
  <c r="I131" i="17"/>
  <c r="I125" i="17"/>
  <c r="I124" i="17"/>
  <c r="I123" i="17"/>
  <c r="I122" i="17"/>
  <c r="I116" i="17"/>
  <c r="I115" i="17"/>
  <c r="I114" i="17"/>
  <c r="I113" i="17"/>
  <c r="I107" i="17"/>
  <c r="I106" i="17"/>
  <c r="I105" i="17"/>
  <c r="I104" i="17"/>
  <c r="I98" i="17"/>
  <c r="I97" i="17"/>
  <c r="I96" i="17"/>
  <c r="I95" i="17"/>
  <c r="I89" i="17"/>
  <c r="I88" i="17"/>
  <c r="I87" i="17"/>
  <c r="I86" i="17"/>
  <c r="I80" i="17"/>
  <c r="I79" i="17"/>
  <c r="I78" i="17"/>
  <c r="I77" i="17"/>
  <c r="I71" i="17"/>
  <c r="I70" i="17"/>
  <c r="I69" i="17"/>
  <c r="I68" i="17"/>
  <c r="I8" i="17"/>
  <c r="I7" i="17"/>
  <c r="I6" i="17"/>
  <c r="I5" i="17"/>
  <c r="M62" i="17"/>
  <c r="M61" i="17"/>
  <c r="M60" i="17"/>
  <c r="M59" i="17"/>
  <c r="K62" i="17"/>
  <c r="K61" i="17"/>
  <c r="K60" i="17"/>
  <c r="K59" i="17"/>
  <c r="I62" i="17"/>
  <c r="I61" i="17"/>
  <c r="I60" i="17"/>
  <c r="I59" i="17"/>
  <c r="M135" i="17"/>
  <c r="K135" i="17"/>
  <c r="M126" i="17"/>
  <c r="K126" i="17"/>
  <c r="M117" i="17"/>
  <c r="K117" i="17"/>
  <c r="M108" i="17"/>
  <c r="K108" i="17"/>
  <c r="M99" i="17"/>
  <c r="K99" i="17"/>
  <c r="M90" i="17"/>
  <c r="K90" i="17"/>
  <c r="M81" i="17"/>
  <c r="K81" i="17"/>
  <c r="M72" i="17"/>
  <c r="K72" i="17"/>
  <c r="M63" i="17"/>
  <c r="K63" i="17"/>
  <c r="M54" i="17"/>
  <c r="K54" i="17"/>
  <c r="M45" i="17"/>
  <c r="K45" i="17"/>
  <c r="M36" i="17"/>
  <c r="K36" i="17"/>
  <c r="M27" i="17"/>
  <c r="K27" i="17"/>
  <c r="M18" i="17"/>
  <c r="K18" i="17"/>
  <c r="M9" i="17"/>
  <c r="K9" i="17"/>
  <c r="I72" i="17"/>
  <c r="I73" i="17"/>
  <c r="I74" i="17"/>
  <c r="I81" i="17"/>
  <c r="I82" i="17"/>
  <c r="I83" i="17"/>
  <c r="I90" i="17"/>
  <c r="I91" i="17"/>
  <c r="I92" i="17"/>
  <c r="I99" i="17"/>
  <c r="I100" i="17"/>
  <c r="I101" i="17"/>
  <c r="I108" i="17"/>
  <c r="I109" i="17"/>
  <c r="I110" i="17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I134" i="16"/>
  <c r="I133" i="16"/>
  <c r="I132" i="16"/>
  <c r="I131" i="16"/>
  <c r="I130" i="16"/>
  <c r="I129" i="16"/>
  <c r="I125" i="16"/>
  <c r="I124" i="16"/>
  <c r="I123" i="16"/>
  <c r="I122" i="16"/>
  <c r="I121" i="16"/>
  <c r="I120" i="16"/>
  <c r="I116" i="16"/>
  <c r="I115" i="16"/>
  <c r="I114" i="16"/>
  <c r="I113" i="16"/>
  <c r="I112" i="16"/>
  <c r="I111" i="16"/>
  <c r="I119" i="16"/>
  <c r="I118" i="16"/>
  <c r="I117" i="16"/>
  <c r="I107" i="16"/>
  <c r="I106" i="16"/>
  <c r="I105" i="16"/>
  <c r="I104" i="16"/>
  <c r="I103" i="16"/>
  <c r="I102" i="16"/>
  <c r="I98" i="16"/>
  <c r="I97" i="16"/>
  <c r="I96" i="16"/>
  <c r="I95" i="16"/>
  <c r="I94" i="16"/>
  <c r="I93" i="16"/>
  <c r="I89" i="16"/>
  <c r="I88" i="16"/>
  <c r="I87" i="16"/>
  <c r="I86" i="16"/>
  <c r="I85" i="16"/>
  <c r="I84" i="16"/>
  <c r="J79" i="16"/>
  <c r="J80" i="16"/>
  <c r="J81" i="16"/>
  <c r="J70" i="16"/>
  <c r="J71" i="16"/>
  <c r="J72" i="16"/>
  <c r="J61" i="16"/>
  <c r="J62" i="16"/>
  <c r="J63" i="16"/>
  <c r="I80" i="16"/>
  <c r="I79" i="16"/>
  <c r="I78" i="16"/>
  <c r="I71" i="16"/>
  <c r="I70" i="16"/>
  <c r="I69" i="16"/>
  <c r="I62" i="16"/>
  <c r="I61" i="16"/>
  <c r="I57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I53" i="16"/>
  <c r="I52" i="16"/>
  <c r="I51" i="16"/>
  <c r="I50" i="16"/>
  <c r="I49" i="16"/>
  <c r="I48" i="16"/>
  <c r="I44" i="16"/>
  <c r="I43" i="16"/>
  <c r="I42" i="16"/>
  <c r="I41" i="16"/>
  <c r="I40" i="16"/>
  <c r="I39" i="16"/>
  <c r="I34" i="16"/>
  <c r="I31" i="16"/>
  <c r="I35" i="16"/>
  <c r="I33" i="16"/>
  <c r="I32" i="16"/>
  <c r="I30" i="16"/>
  <c r="J21" i="16"/>
  <c r="J22" i="16"/>
  <c r="J23" i="16"/>
  <c r="J24" i="16"/>
  <c r="J25" i="16"/>
  <c r="J26" i="16"/>
  <c r="J27" i="16"/>
  <c r="J28" i="16"/>
  <c r="J29" i="16"/>
  <c r="I26" i="16"/>
  <c r="I25" i="16"/>
  <c r="I24" i="16"/>
  <c r="I23" i="16"/>
  <c r="I22" i="16"/>
  <c r="I21" i="16"/>
  <c r="I17" i="16"/>
  <c r="I16" i="16"/>
  <c r="I15" i="16"/>
  <c r="I14" i="16"/>
  <c r="I13" i="16"/>
  <c r="I12" i="16"/>
  <c r="J14" i="16"/>
  <c r="J15" i="16"/>
  <c r="J16" i="16"/>
  <c r="J17" i="16"/>
  <c r="J18" i="16"/>
  <c r="J7" i="16"/>
  <c r="J8" i="16"/>
  <c r="J9" i="16" s="1"/>
  <c r="I8" i="16"/>
  <c r="I7" i="16"/>
  <c r="J12" i="16"/>
  <c r="J13" i="16"/>
  <c r="J3" i="16"/>
  <c r="J4" i="16"/>
  <c r="J5" i="16"/>
  <c r="J6" i="16"/>
  <c r="I72" i="16"/>
  <c r="J75" i="16"/>
  <c r="J76" i="16"/>
  <c r="J77" i="16"/>
  <c r="J78" i="16"/>
  <c r="I77" i="16"/>
  <c r="I76" i="16"/>
  <c r="I75" i="16"/>
  <c r="J67" i="16"/>
  <c r="J68" i="16"/>
  <c r="J69" i="16"/>
  <c r="I68" i="16"/>
  <c r="I67" i="16"/>
  <c r="I66" i="16"/>
  <c r="J66" i="16"/>
  <c r="J59" i="16"/>
  <c r="J60" i="16"/>
  <c r="J58" i="16"/>
  <c r="J57" i="16"/>
  <c r="I60" i="16"/>
  <c r="I59" i="16"/>
  <c r="I58" i="16"/>
  <c r="I6" i="16"/>
  <c r="I5" i="16"/>
  <c r="I4" i="16"/>
  <c r="I3" i="16"/>
  <c r="I11" i="18" l="1"/>
  <c r="I10" i="18"/>
  <c r="J11" i="18"/>
  <c r="J10" i="18"/>
  <c r="K11" i="18"/>
  <c r="K10" i="18"/>
  <c r="L11" i="18"/>
  <c r="L10" i="18"/>
  <c r="M11" i="18"/>
  <c r="M10" i="18"/>
  <c r="N11" i="18"/>
  <c r="N10" i="18"/>
  <c r="I9" i="18"/>
  <c r="J9" i="18"/>
  <c r="K9" i="18"/>
  <c r="L9" i="18"/>
  <c r="M9" i="18"/>
  <c r="N9" i="18"/>
  <c r="I20" i="18"/>
  <c r="I19" i="18"/>
  <c r="J20" i="18"/>
  <c r="J19" i="18"/>
  <c r="K20" i="18"/>
  <c r="K19" i="18"/>
  <c r="L20" i="18"/>
  <c r="L19" i="18"/>
  <c r="M20" i="18"/>
  <c r="M19" i="18"/>
  <c r="N20" i="18"/>
  <c r="N19" i="18"/>
  <c r="I18" i="18"/>
  <c r="J18" i="18"/>
  <c r="K18" i="18"/>
  <c r="L18" i="18"/>
  <c r="M18" i="18"/>
  <c r="N18" i="18"/>
  <c r="I29" i="18"/>
  <c r="I28" i="18"/>
  <c r="J29" i="18"/>
  <c r="J28" i="18"/>
  <c r="K29" i="18"/>
  <c r="K28" i="18"/>
  <c r="L29" i="18"/>
  <c r="L28" i="18"/>
  <c r="M29" i="18"/>
  <c r="M28" i="18"/>
  <c r="N29" i="18"/>
  <c r="N28" i="18"/>
  <c r="I27" i="18"/>
  <c r="J27" i="18"/>
  <c r="K27" i="18"/>
  <c r="L27" i="18"/>
  <c r="M27" i="18"/>
  <c r="N27" i="18"/>
  <c r="I38" i="18"/>
  <c r="I37" i="18"/>
  <c r="J38" i="18"/>
  <c r="J37" i="18"/>
  <c r="K38" i="18"/>
  <c r="K37" i="18"/>
  <c r="L38" i="18"/>
  <c r="L37" i="18"/>
  <c r="M38" i="18"/>
  <c r="M37" i="18"/>
  <c r="N38" i="18"/>
  <c r="N37" i="18"/>
  <c r="I36" i="18"/>
  <c r="J36" i="18"/>
  <c r="K36" i="18"/>
  <c r="L36" i="18"/>
  <c r="M36" i="18"/>
  <c r="N36" i="18"/>
  <c r="I47" i="18"/>
  <c r="I46" i="18"/>
  <c r="J47" i="18"/>
  <c r="J46" i="18"/>
  <c r="K47" i="18"/>
  <c r="K46" i="18"/>
  <c r="L47" i="18"/>
  <c r="L46" i="18"/>
  <c r="M47" i="18"/>
  <c r="M46" i="18"/>
  <c r="N47" i="18"/>
  <c r="N46" i="18"/>
  <c r="I45" i="18"/>
  <c r="J45" i="18"/>
  <c r="K45" i="18"/>
  <c r="L45" i="18"/>
  <c r="M45" i="18"/>
  <c r="N45" i="18"/>
  <c r="I56" i="18"/>
  <c r="I55" i="18"/>
  <c r="J56" i="18"/>
  <c r="J55" i="18"/>
  <c r="K56" i="18"/>
  <c r="K55" i="18"/>
  <c r="L56" i="18"/>
  <c r="L55" i="18"/>
  <c r="M56" i="18"/>
  <c r="M55" i="18"/>
  <c r="N56" i="18"/>
  <c r="N55" i="18"/>
  <c r="I54" i="18"/>
  <c r="J54" i="18"/>
  <c r="K54" i="18"/>
  <c r="L54" i="18"/>
  <c r="M54" i="18"/>
  <c r="N54" i="18"/>
  <c r="I65" i="18"/>
  <c r="I64" i="18"/>
  <c r="J65" i="18"/>
  <c r="J64" i="18"/>
  <c r="K65" i="18"/>
  <c r="K64" i="18"/>
  <c r="L65" i="18"/>
  <c r="L64" i="18"/>
  <c r="M65" i="18"/>
  <c r="M64" i="18"/>
  <c r="N65" i="18"/>
  <c r="N64" i="18"/>
  <c r="I63" i="18"/>
  <c r="J63" i="18"/>
  <c r="K63" i="18"/>
  <c r="L63" i="18"/>
  <c r="M63" i="18"/>
  <c r="N63" i="18"/>
  <c r="I74" i="18"/>
  <c r="I73" i="18"/>
  <c r="J74" i="18"/>
  <c r="J73" i="18"/>
  <c r="K74" i="18"/>
  <c r="K73" i="18"/>
  <c r="L74" i="18"/>
  <c r="L73" i="18"/>
  <c r="M74" i="18"/>
  <c r="M73" i="18"/>
  <c r="N74" i="18"/>
  <c r="N73" i="18"/>
  <c r="I72" i="18"/>
  <c r="J72" i="18"/>
  <c r="K72" i="18"/>
  <c r="L72" i="18"/>
  <c r="M72" i="18"/>
  <c r="N72" i="18"/>
  <c r="I83" i="18"/>
  <c r="I82" i="18"/>
  <c r="J83" i="18"/>
  <c r="J82" i="18"/>
  <c r="K83" i="18"/>
  <c r="K82" i="18"/>
  <c r="L83" i="18"/>
  <c r="L82" i="18"/>
  <c r="M83" i="18"/>
  <c r="M82" i="18"/>
  <c r="N83" i="18"/>
  <c r="N82" i="18"/>
  <c r="I81" i="18"/>
  <c r="J81" i="18"/>
  <c r="K81" i="18"/>
  <c r="L81" i="18"/>
  <c r="M81" i="18"/>
  <c r="N81" i="18"/>
  <c r="I92" i="18"/>
  <c r="I91" i="18"/>
  <c r="J92" i="18"/>
  <c r="J91" i="18"/>
  <c r="K92" i="18"/>
  <c r="K91" i="18"/>
  <c r="L92" i="18"/>
  <c r="L91" i="18"/>
  <c r="M92" i="18"/>
  <c r="M91" i="18"/>
  <c r="N92" i="18"/>
  <c r="N91" i="18"/>
  <c r="I90" i="18"/>
  <c r="J90" i="18"/>
  <c r="K90" i="18"/>
  <c r="L90" i="18"/>
  <c r="M90" i="18"/>
  <c r="N90" i="18"/>
  <c r="I101" i="18"/>
  <c r="I100" i="18"/>
  <c r="J101" i="18"/>
  <c r="J100" i="18"/>
  <c r="K101" i="18"/>
  <c r="K100" i="18"/>
  <c r="L101" i="18"/>
  <c r="L100" i="18"/>
  <c r="M101" i="18"/>
  <c r="M100" i="18"/>
  <c r="N101" i="18"/>
  <c r="N100" i="18"/>
  <c r="I99" i="18"/>
  <c r="J99" i="18"/>
  <c r="K99" i="18"/>
  <c r="L99" i="18"/>
  <c r="M99" i="18"/>
  <c r="N99" i="18"/>
  <c r="I110" i="18"/>
  <c r="I109" i="18"/>
  <c r="J110" i="18"/>
  <c r="J109" i="18"/>
  <c r="K110" i="18"/>
  <c r="K109" i="18"/>
  <c r="L110" i="18"/>
  <c r="L109" i="18"/>
  <c r="M110" i="18"/>
  <c r="M109" i="18"/>
  <c r="N110" i="18"/>
  <c r="N109" i="18"/>
  <c r="I108" i="18"/>
  <c r="J108" i="18"/>
  <c r="K108" i="18"/>
  <c r="L108" i="18"/>
  <c r="M108" i="18"/>
  <c r="N108" i="18"/>
  <c r="I119" i="18"/>
  <c r="I118" i="18"/>
  <c r="J119" i="18"/>
  <c r="J118" i="18"/>
  <c r="K119" i="18"/>
  <c r="K118" i="18"/>
  <c r="L119" i="18"/>
  <c r="L118" i="18"/>
  <c r="M119" i="18"/>
  <c r="M118" i="18"/>
  <c r="N119" i="18"/>
  <c r="N118" i="18"/>
  <c r="I117" i="18"/>
  <c r="J117" i="18"/>
  <c r="K117" i="18"/>
  <c r="L117" i="18"/>
  <c r="M117" i="18"/>
  <c r="N117" i="18"/>
  <c r="I128" i="18"/>
  <c r="I127" i="18"/>
  <c r="J128" i="18"/>
  <c r="J127" i="18"/>
  <c r="K128" i="18"/>
  <c r="K127" i="18"/>
  <c r="L128" i="18"/>
  <c r="L127" i="18"/>
  <c r="M128" i="18"/>
  <c r="M127" i="18"/>
  <c r="N128" i="18"/>
  <c r="N127" i="18"/>
  <c r="I126" i="18"/>
  <c r="J126" i="18"/>
  <c r="K126" i="18"/>
  <c r="L126" i="18"/>
  <c r="M126" i="18"/>
  <c r="N126" i="18"/>
  <c r="I137" i="18"/>
  <c r="I136" i="18"/>
  <c r="J137" i="18"/>
  <c r="J136" i="18"/>
  <c r="K137" i="18"/>
  <c r="K136" i="18"/>
  <c r="L137" i="18"/>
  <c r="L136" i="18"/>
  <c r="M137" i="18"/>
  <c r="M136" i="18"/>
  <c r="N137" i="18"/>
  <c r="N136" i="18"/>
  <c r="I135" i="18"/>
  <c r="J135" i="18"/>
  <c r="K135" i="18"/>
  <c r="L135" i="18"/>
  <c r="M135" i="18"/>
  <c r="N135" i="18"/>
  <c r="K11" i="17"/>
  <c r="K10" i="17"/>
  <c r="M11" i="17"/>
  <c r="M10" i="17"/>
  <c r="K20" i="17"/>
  <c r="K19" i="17"/>
  <c r="M20" i="17"/>
  <c r="M19" i="17"/>
  <c r="K29" i="17"/>
  <c r="K28" i="17"/>
  <c r="M29" i="17"/>
  <c r="M28" i="17"/>
  <c r="K38" i="17"/>
  <c r="K37" i="17"/>
  <c r="M38" i="17"/>
  <c r="M37" i="17"/>
  <c r="K47" i="17"/>
  <c r="K46" i="17"/>
  <c r="M47" i="17"/>
  <c r="M46" i="17"/>
  <c r="K56" i="17"/>
  <c r="K55" i="17"/>
  <c r="M56" i="17"/>
  <c r="M55" i="17"/>
  <c r="K65" i="17"/>
  <c r="K64" i="17"/>
  <c r="M65" i="17"/>
  <c r="M64" i="17"/>
  <c r="K74" i="17"/>
  <c r="K73" i="17"/>
  <c r="M74" i="17"/>
  <c r="M73" i="17"/>
  <c r="K83" i="17"/>
  <c r="K82" i="17"/>
  <c r="M83" i="17"/>
  <c r="M82" i="17"/>
  <c r="K92" i="17"/>
  <c r="K91" i="17"/>
  <c r="M92" i="17"/>
  <c r="M91" i="17"/>
  <c r="K101" i="17"/>
  <c r="K100" i="17"/>
  <c r="M101" i="17"/>
  <c r="M100" i="17"/>
  <c r="K110" i="17"/>
  <c r="K109" i="17"/>
  <c r="M110" i="17"/>
  <c r="M109" i="17"/>
  <c r="K119" i="17"/>
  <c r="K118" i="17"/>
  <c r="M119" i="17"/>
  <c r="M118" i="17"/>
  <c r="K128" i="17"/>
  <c r="K127" i="17"/>
  <c r="M128" i="17"/>
  <c r="M127" i="17"/>
  <c r="K137" i="17"/>
  <c r="K136" i="17"/>
  <c r="M137" i="17"/>
  <c r="M136" i="17"/>
  <c r="I11" i="17"/>
  <c r="I10" i="17"/>
  <c r="I9" i="17"/>
  <c r="I20" i="17"/>
  <c r="I19" i="17"/>
  <c r="I18" i="17"/>
  <c r="I29" i="17"/>
  <c r="I28" i="17"/>
  <c r="I27" i="17"/>
  <c r="I38" i="17"/>
  <c r="I37" i="17"/>
  <c r="I36" i="17"/>
  <c r="I47" i="17"/>
  <c r="I46" i="17"/>
  <c r="I45" i="17"/>
  <c r="I56" i="17"/>
  <c r="I55" i="17"/>
  <c r="I54" i="17"/>
  <c r="I65" i="17"/>
  <c r="I64" i="17"/>
  <c r="I63" i="17"/>
  <c r="I119" i="17"/>
  <c r="I118" i="17"/>
  <c r="I117" i="17"/>
  <c r="I128" i="17"/>
  <c r="I127" i="17"/>
  <c r="I126" i="17"/>
  <c r="I137" i="17"/>
  <c r="I136" i="17"/>
  <c r="I135" i="17"/>
  <c r="I10" i="16"/>
  <c r="I11" i="16"/>
  <c r="I65" i="16"/>
  <c r="I64" i="16"/>
  <c r="J64" i="16"/>
  <c r="J65" i="16"/>
  <c r="I74" i="16"/>
  <c r="I73" i="16"/>
  <c r="J73" i="16"/>
  <c r="J74" i="16"/>
  <c r="I83" i="16"/>
  <c r="I82" i="16"/>
  <c r="J82" i="16"/>
  <c r="J83" i="16"/>
  <c r="J10" i="16"/>
  <c r="J11" i="16"/>
  <c r="J19" i="16"/>
  <c r="J20" i="16"/>
  <c r="I9" i="16"/>
  <c r="I20" i="16"/>
  <c r="I19" i="16"/>
  <c r="I18" i="16"/>
  <c r="I29" i="16"/>
  <c r="I28" i="16"/>
  <c r="I27" i="16"/>
  <c r="I38" i="16"/>
  <c r="I37" i="16"/>
  <c r="I47" i="16"/>
  <c r="I46" i="16"/>
  <c r="I56" i="16"/>
  <c r="I55" i="16"/>
  <c r="I92" i="16"/>
  <c r="I91" i="16"/>
  <c r="I101" i="16"/>
  <c r="I100" i="16"/>
  <c r="I110" i="16"/>
  <c r="I109" i="16"/>
  <c r="I137" i="16"/>
  <c r="I136" i="16"/>
  <c r="I135" i="16"/>
  <c r="I108" i="16"/>
  <c r="I99" i="16"/>
  <c r="I90" i="16"/>
  <c r="I81" i="16"/>
  <c r="I63" i="16"/>
  <c r="I54" i="16"/>
  <c r="I45" i="16"/>
  <c r="I128" i="16"/>
  <c r="I127" i="16"/>
  <c r="I126" i="16"/>
  <c r="I36" i="16"/>
</calcChain>
</file>

<file path=xl/sharedStrings.xml><?xml version="1.0" encoding="utf-8"?>
<sst xmlns="http://schemas.openxmlformats.org/spreadsheetml/2006/main" count="1520" uniqueCount="233">
  <si>
    <t>Description</t>
  </si>
  <si>
    <t>MGRS</t>
  </si>
  <si>
    <t>latlon</t>
  </si>
  <si>
    <t>moh</t>
  </si>
  <si>
    <t>km from firing pos.</t>
  </si>
  <si>
    <t>zone</t>
  </si>
  <si>
    <t>longitude</t>
  </si>
  <si>
    <t>east</t>
  </si>
  <si>
    <t>north</t>
  </si>
  <si>
    <t>Weather format</t>
  </si>
  <si>
    <t>Angle of fire</t>
  </si>
  <si>
    <t>CM pos. Setermoen</t>
  </si>
  <si>
    <t>34W</t>
  </si>
  <si>
    <t>CB</t>
  </si>
  <si>
    <t>68,8</t>
  </si>
  <si>
    <t>18,4</t>
  </si>
  <si>
    <t>625,9</t>
  </si>
  <si>
    <t>4,25</t>
  </si>
  <si>
    <t>METCM</t>
  </si>
  <si>
    <t>High</t>
  </si>
  <si>
    <t>CM pos. Andøya</t>
  </si>
  <si>
    <t>33W</t>
  </si>
  <si>
    <t>WS</t>
  </si>
  <si>
    <t>METCM (from METGM)</t>
  </si>
  <si>
    <t>Low</t>
  </si>
  <si>
    <t>CM pos. Harstad</t>
  </si>
  <si>
    <t>METCM (from METGC)</t>
  </si>
  <si>
    <t>N/A</t>
  </si>
  <si>
    <t>METGC</t>
  </si>
  <si>
    <t>Firing pos. Setermoen</t>
  </si>
  <si>
    <t>314,3</t>
  </si>
  <si>
    <t>METGM</t>
  </si>
  <si>
    <t>Firing pos. Andøya</t>
  </si>
  <si>
    <t>69.1397568</t>
  </si>
  <si>
    <t>15.6806463</t>
  </si>
  <si>
    <t>ICAO</t>
  </si>
  <si>
    <t>Firing pos. Harstad</t>
  </si>
  <si>
    <t>68.6274734</t>
  </si>
  <si>
    <t>17.0642882</t>
  </si>
  <si>
    <t>657.5</t>
  </si>
  <si>
    <t>AA0001</t>
  </si>
  <si>
    <t>10,15</t>
  </si>
  <si>
    <t>AA0002</t>
  </si>
  <si>
    <t>DB</t>
  </si>
  <si>
    <t>05772</t>
  </si>
  <si>
    <t>268,2</t>
  </si>
  <si>
    <t>20,03</t>
  </si>
  <si>
    <t>AA0003</t>
  </si>
  <si>
    <t>643,1</t>
  </si>
  <si>
    <t>31,4</t>
  </si>
  <si>
    <t>AA0004</t>
  </si>
  <si>
    <t>08136</t>
  </si>
  <si>
    <t>862,6</t>
  </si>
  <si>
    <t>BB0001</t>
  </si>
  <si>
    <t>69.0512567</t>
  </si>
  <si>
    <t>15.7229823</t>
  </si>
  <si>
    <t>BB0002</t>
  </si>
  <si>
    <t>68.9584923</t>
  </si>
  <si>
    <t>15.7670021</t>
  </si>
  <si>
    <t>BB0003</t>
  </si>
  <si>
    <t>68.8737840</t>
  </si>
  <si>
    <t>15.8068463</t>
  </si>
  <si>
    <t>Target type</t>
  </si>
  <si>
    <t>Target subtype</t>
  </si>
  <si>
    <t>CC0001</t>
  </si>
  <si>
    <t>WR</t>
  </si>
  <si>
    <t>68.4367712</t>
  </si>
  <si>
    <t>17.3864176</t>
  </si>
  <si>
    <t>Flystripe</t>
  </si>
  <si>
    <t>Terrain Features</t>
  </si>
  <si>
    <t>Landing strip</t>
  </si>
  <si>
    <t>CC0002</t>
  </si>
  <si>
    <t>XR</t>
  </si>
  <si>
    <t>00090</t>
  </si>
  <si>
    <t>68.4418522</t>
  </si>
  <si>
    <t>17.4413815</t>
  </si>
  <si>
    <t>Togbane</t>
  </si>
  <si>
    <t>Railroad</t>
  </si>
  <si>
    <t>CC0003</t>
  </si>
  <si>
    <t>68.4282947</t>
  </si>
  <si>
    <t>17.4245494</t>
  </si>
  <si>
    <t>Havn</t>
  </si>
  <si>
    <t>Vehicles</t>
  </si>
  <si>
    <t>Boats</t>
  </si>
  <si>
    <t>Gamle mål (backup ved behov)</t>
  </si>
  <si>
    <t>253,8</t>
  </si>
  <si>
    <t>XS</t>
  </si>
  <si>
    <t>201,5</t>
  </si>
  <si>
    <t>20,1</t>
  </si>
  <si>
    <t>1079,9</t>
  </si>
  <si>
    <t>BB0004</t>
  </si>
  <si>
    <t>08373</t>
  </si>
  <si>
    <t>06954</t>
  </si>
  <si>
    <t>184,3</t>
  </si>
  <si>
    <t>339,4</t>
  </si>
  <si>
    <t>794,3</t>
  </si>
  <si>
    <t>09468</t>
  </si>
  <si>
    <t>364,8</t>
  </si>
  <si>
    <t>CC0004</t>
  </si>
  <si>
    <t>00844</t>
  </si>
  <si>
    <t>68,7</t>
  </si>
  <si>
    <t>40,7</t>
  </si>
  <si>
    <t>Test ID</t>
  </si>
  <si>
    <t>Firing pos.</t>
  </si>
  <si>
    <t>Weather pos.</t>
  </si>
  <si>
    <t>Target name</t>
  </si>
  <si>
    <t>Timestamps</t>
  </si>
  <si>
    <t>Measured alt.</t>
  </si>
  <si>
    <t>missdistance</t>
  </si>
  <si>
    <t>Weather DTG</t>
  </si>
  <si>
    <t>Fire DTG</t>
  </si>
  <si>
    <t>range</t>
  </si>
  <si>
    <t>cross</t>
  </si>
  <si>
    <t>310000Z JUL 03</t>
  </si>
  <si>
    <t>090636Z APR 26</t>
  </si>
  <si>
    <t>090706Z APR 26</t>
  </si>
  <si>
    <t>090906Z APR 26</t>
  </si>
  <si>
    <t>246,855840</t>
  </si>
  <si>
    <t>100718Z APR 26</t>
  </si>
  <si>
    <t>100748Z APR 26</t>
  </si>
  <si>
    <t>100818Z APR 26</t>
  </si>
  <si>
    <t>101018Z APR 26</t>
  </si>
  <si>
    <t>130924Z APR 26</t>
  </si>
  <si>
    <t>130954Z APR 26</t>
  </si>
  <si>
    <t>131024Z APR 26</t>
  </si>
  <si>
    <t>131224Z APR 26</t>
  </si>
  <si>
    <t>140612Z APR 26</t>
  </si>
  <si>
    <t>140642Z APR 26</t>
  </si>
  <si>
    <t>140712Z APR 26</t>
  </si>
  <si>
    <t>140912Z APR 26</t>
  </si>
  <si>
    <t>150606Z APR 26</t>
  </si>
  <si>
    <t>150636Z APR 26</t>
  </si>
  <si>
    <t>150706Z APR 26</t>
  </si>
  <si>
    <t>150906Z APR 26</t>
  </si>
  <si>
    <t>160606Z APR 26</t>
  </si>
  <si>
    <t>160636Z APR 26</t>
  </si>
  <si>
    <t>160706Z APR 26</t>
  </si>
  <si>
    <t>160906Z APR 26</t>
  </si>
  <si>
    <t>170600Z APR 26</t>
  </si>
  <si>
    <t>170630Z APR 26</t>
  </si>
  <si>
    <t>170700Z APR 26</t>
  </si>
  <si>
    <t>170900Z APR 26</t>
  </si>
  <si>
    <t>200606Z APR 26</t>
  </si>
  <si>
    <t>200636Z APR 26</t>
  </si>
  <si>
    <t>200706Z APR 26</t>
  </si>
  <si>
    <t>200906Z APR 26</t>
  </si>
  <si>
    <t>210606Z APR 26</t>
  </si>
  <si>
    <t>210636Z APR 26</t>
  </si>
  <si>
    <t>210706Z APR 26</t>
  </si>
  <si>
    <t>210906Z APR 26</t>
  </si>
  <si>
    <t>220612Z APR 26</t>
  </si>
  <si>
    <t>220642Z APR 26</t>
  </si>
  <si>
    <t>220712Z APR 26</t>
  </si>
  <si>
    <t>220912Z APR 26</t>
  </si>
  <si>
    <t>230612Z APR 26</t>
  </si>
  <si>
    <t>230642Z APR 26</t>
  </si>
  <si>
    <t>230712Z APR 26</t>
  </si>
  <si>
    <t>230912Z APR 26</t>
  </si>
  <si>
    <t>240606Z APR 26</t>
  </si>
  <si>
    <t>240636Z APR 26</t>
  </si>
  <si>
    <t>240706Z APR 26</t>
  </si>
  <si>
    <t>240906Z APR 26</t>
  </si>
  <si>
    <t>281112Z APR 26</t>
  </si>
  <si>
    <t>281142Z APR 26</t>
  </si>
  <si>
    <t>281212Z APR 26</t>
  </si>
  <si>
    <t>281412Z APR 26</t>
  </si>
  <si>
    <t>290736Z APR 26</t>
  </si>
  <si>
    <t>290806Z APR 26</t>
  </si>
  <si>
    <t>290836Z APR 26</t>
  </si>
  <si>
    <t>291036Z APR 26</t>
  </si>
  <si>
    <t>300636Z APR 26</t>
  </si>
  <si>
    <t>300706Z APR 26</t>
  </si>
  <si>
    <t>300736Z APR 26</t>
  </si>
  <si>
    <t>300936Z APR 26</t>
  </si>
  <si>
    <t>091100Z APR 26</t>
  </si>
  <si>
    <t>091130Z APR 26</t>
  </si>
  <si>
    <t>091200Z APR 26</t>
  </si>
  <si>
    <t>091400Z APR 26</t>
  </si>
  <si>
    <t>091430Z APR 26</t>
  </si>
  <si>
    <t>091500Z APR 26</t>
  </si>
  <si>
    <t>091530Z APR 26</t>
  </si>
  <si>
    <t>091730Z APR 26</t>
  </si>
  <si>
    <t>101112Z APR 26</t>
  </si>
  <si>
    <t>101142Z APR 26</t>
  </si>
  <si>
    <t>101212Z APR 26</t>
  </si>
  <si>
    <t>101412Z APR 26</t>
  </si>
  <si>
    <t>151100Z APR 26</t>
  </si>
  <si>
    <t>151130Z APR 26</t>
  </si>
  <si>
    <t>151200Z APR 26</t>
  </si>
  <si>
    <t>151400Z APR 26</t>
  </si>
  <si>
    <t>231200Z FEB 26</t>
  </si>
  <si>
    <t>231230Z FEB 26</t>
  </si>
  <si>
    <t>231300Z FEB 26</t>
  </si>
  <si>
    <t>231400Z FEB 26</t>
  </si>
  <si>
    <t>231500Z FEB 26</t>
  </si>
  <si>
    <t>231700Z FEB 26</t>
  </si>
  <si>
    <t>060600Z MAY 26</t>
  </si>
  <si>
    <t>060630Z MAY 26</t>
  </si>
  <si>
    <t>060700Z MAY 26</t>
  </si>
  <si>
    <t>060900Z MAY 26</t>
  </si>
  <si>
    <t>070630Z MAY 26</t>
  </si>
  <si>
    <t>070700Z MAY 26</t>
  </si>
  <si>
    <t>070900Z MAY 26</t>
  </si>
  <si>
    <t>080630Z MAY 26</t>
  </si>
  <si>
    <t>080700Z MAY 26</t>
  </si>
  <si>
    <t>080900Z MAY 26</t>
  </si>
  <si>
    <t>090600Z APR 26</t>
  </si>
  <si>
    <t>090630Z MAY 26</t>
  </si>
  <si>
    <t>090700Z MAY 26</t>
  </si>
  <si>
    <t>090900Z MAY 26</t>
  </si>
  <si>
    <t>100630Z MAY 26</t>
  </si>
  <si>
    <t>100700Z MAY 26</t>
  </si>
  <si>
    <t>100900Z MAY 26</t>
  </si>
  <si>
    <t>110630Z MAY 26</t>
  </si>
  <si>
    <t>110700Z MAY 26</t>
  </si>
  <si>
    <t>110900Z MAY 26</t>
  </si>
  <si>
    <t>Type of stat.</t>
  </si>
  <si>
    <t>n (antall)</t>
  </si>
  <si>
    <t>Gjennomsnitt</t>
  </si>
  <si>
    <t>Standardavvik (utvalg)</t>
  </si>
  <si>
    <t>Median</t>
  </si>
  <si>
    <t>Q1</t>
  </si>
  <si>
    <t>Q3</t>
  </si>
  <si>
    <t>Totale gjennomsnitt for Harstad</t>
  </si>
  <si>
    <t>IQR</t>
  </si>
  <si>
    <t>95% KI - nedre</t>
  </si>
  <si>
    <t>95% KI - øvre</t>
  </si>
  <si>
    <t>09-23. APR 26</t>
  </si>
  <si>
    <t>10-30. APR 26</t>
  </si>
  <si>
    <t>06-11. MAY 26</t>
  </si>
  <si>
    <t>missdistance 30 min</t>
  </si>
  <si>
    <t>missdistance 1 t</t>
  </si>
  <si>
    <t>missdistance 3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</si>
</sst>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/>
    <xf numFmtId="0" fontId="0" fillId="0" borderId="4" xfId="0" applyBorder="1" applyAlignment="1">
      <alignment horizontal="center" vertical="center" wrapText="1"/>
    </xf>
    <xf numFmtId="0" fontId="0" fillId="0" borderId="7" xfId="0" quotePrefix="1" applyBorder="1" applyAlignment="1">
      <alignment horizontal="center" vertical="center" wrapText="1"/>
    </xf>
    <xf numFmtId="0" fontId="0" fillId="0" borderId="12" xfId="0" quotePrefix="1" applyBorder="1" applyAlignment="1">
      <alignment horizontal="center" vertical="center" wrapText="1"/>
    </xf>
    <xf numFmtId="0" fontId="0" fillId="0" borderId="0" xfId="0" applyAlignment="1"/>
    <xf numFmtId="0" fontId="1" fillId="3" borderId="2" xfId="0" applyFont="1" applyFill="1" applyBorder="1" applyAlignment="1">
      <alignment vertical="center" wrapText="1"/>
    </xf>
    <xf numFmtId="0" fontId="0" fillId="6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4" xfId="0" applyFill="1" applyBorder="1" applyAlignment="1">
      <alignment horizontal="center"/>
    </xf>
    <xf numFmtId="0" fontId="0" fillId="7" borderId="27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30" xfId="0" applyFill="1" applyBorder="1" applyAlignment="1">
      <alignment horizontal="center"/>
    </xf>
    <xf numFmtId="0" fontId="0" fillId="6" borderId="30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 wrapText="1"/>
    </xf>
    <xf numFmtId="0" fontId="0" fillId="6" borderId="35" xfId="0" applyFill="1" applyBorder="1" applyAlignment="1">
      <alignment horizontal="center" vertical="center" wrapText="1"/>
    </xf>
    <xf numFmtId="0" fontId="0" fillId="7" borderId="38" xfId="0" applyFill="1" applyBorder="1" applyAlignment="1">
      <alignment horizontal="center" vertical="center" wrapText="1"/>
    </xf>
    <xf numFmtId="0" fontId="0" fillId="6" borderId="38" xfId="0" applyFill="1" applyBorder="1" applyAlignment="1">
      <alignment horizontal="center" vertical="center" wrapText="1"/>
    </xf>
    <xf numFmtId="0" fontId="0" fillId="8" borderId="38" xfId="0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/>
    <xf numFmtId="0" fontId="0" fillId="6" borderId="25" xfId="0" applyFill="1" applyBorder="1" applyAlignment="1">
      <alignment horizontal="center"/>
    </xf>
    <xf numFmtId="0" fontId="0" fillId="6" borderId="25" xfId="0" applyFill="1" applyBorder="1" applyAlignment="1">
      <alignment horizontal="center" vertical="center"/>
    </xf>
    <xf numFmtId="0" fontId="0" fillId="8" borderId="30" xfId="0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 wrapText="1"/>
    </xf>
    <xf numFmtId="0" fontId="0" fillId="6" borderId="43" xfId="0" applyFill="1" applyBorder="1" applyAlignment="1">
      <alignment horizontal="center" vertical="center" wrapText="1"/>
    </xf>
    <xf numFmtId="0" fontId="0" fillId="0" borderId="0" xfId="0" applyAlignment="1"/>
    <xf numFmtId="0" fontId="0" fillId="0" borderId="4" xfId="0" quotePrefix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0" xfId="0" quotePrefix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8" borderId="42" xfId="0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/>
    <xf numFmtId="0" fontId="0" fillId="9" borderId="27" xfId="0" applyFill="1" applyBorder="1" applyAlignment="1">
      <alignment vertical="center" wrapText="1"/>
    </xf>
    <xf numFmtId="0" fontId="0" fillId="9" borderId="4" xfId="0" applyFill="1" applyBorder="1" applyAlignment="1">
      <alignment vertical="center" wrapText="1"/>
    </xf>
    <xf numFmtId="0" fontId="0" fillId="9" borderId="30" xfId="0" applyFill="1" applyBorder="1" applyAlignment="1">
      <alignment vertical="center" wrapText="1"/>
    </xf>
    <xf numFmtId="0" fontId="0" fillId="9" borderId="37" xfId="0" applyFill="1" applyBorder="1" applyAlignment="1">
      <alignment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64" fontId="0" fillId="7" borderId="4" xfId="0" applyNumberFormat="1" applyFill="1" applyBorder="1" applyAlignment="1">
      <alignment horizontal="center" vertical="center"/>
    </xf>
    <xf numFmtId="164" fontId="0" fillId="8" borderId="4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164" fontId="0" fillId="6" borderId="30" xfId="0" applyNumberFormat="1" applyFill="1" applyBorder="1" applyAlignment="1">
      <alignment horizontal="center" vertical="center"/>
    </xf>
    <xf numFmtId="164" fontId="0" fillId="6" borderId="25" xfId="0" applyNumberFormat="1" applyFill="1" applyBorder="1" applyAlignment="1">
      <alignment horizontal="center" vertical="center"/>
    </xf>
    <xf numFmtId="164" fontId="0" fillId="7" borderId="27" xfId="0" applyNumberFormat="1" applyFill="1" applyBorder="1" applyAlignment="1">
      <alignment horizontal="center"/>
    </xf>
    <xf numFmtId="164" fontId="0" fillId="7" borderId="4" xfId="0" applyNumberFormat="1" applyFill="1" applyBorder="1" applyAlignment="1">
      <alignment horizontal="center"/>
    </xf>
    <xf numFmtId="164" fontId="0" fillId="8" borderId="4" xfId="0" applyNumberFormat="1" applyFill="1" applyBorder="1" applyAlignment="1">
      <alignment horizontal="center"/>
    </xf>
    <xf numFmtId="164" fontId="0" fillId="6" borderId="4" xfId="0" applyNumberFormat="1" applyFill="1" applyBorder="1" applyAlignment="1">
      <alignment horizontal="center"/>
    </xf>
    <xf numFmtId="164" fontId="0" fillId="6" borderId="30" xfId="0" applyNumberFormat="1" applyFill="1" applyBorder="1" applyAlignment="1">
      <alignment horizontal="center"/>
    </xf>
    <xf numFmtId="0" fontId="0" fillId="0" borderId="0" xfId="0" quotePrefix="1"/>
    <xf numFmtId="0" fontId="0" fillId="7" borderId="47" xfId="0" applyFill="1" applyBorder="1" applyAlignment="1">
      <alignment horizontal="center" vertical="center" wrapText="1"/>
    </xf>
    <xf numFmtId="164" fontId="0" fillId="7" borderId="4" xfId="0" applyNumberFormat="1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/>
    </xf>
    <xf numFmtId="164" fontId="0" fillId="7" borderId="29" xfId="0" applyNumberFormat="1" applyFill="1" applyBorder="1" applyAlignment="1">
      <alignment horizontal="center" vertical="center"/>
    </xf>
    <xf numFmtId="164" fontId="0" fillId="7" borderId="29" xfId="0" applyNumberFormat="1" applyFill="1" applyBorder="1" applyAlignment="1">
      <alignment horizontal="center" vertical="center" wrapText="1"/>
    </xf>
    <xf numFmtId="0" fontId="0" fillId="8" borderId="29" xfId="0" applyFill="1" applyBorder="1" applyAlignment="1">
      <alignment horizontal="center" vertical="center"/>
    </xf>
    <xf numFmtId="164" fontId="0" fillId="8" borderId="29" xfId="0" applyNumberFormat="1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164" fontId="0" fillId="6" borderId="29" xfId="0" applyNumberFormat="1" applyFill="1" applyBorder="1" applyAlignment="1">
      <alignment horizontal="center" vertical="center"/>
    </xf>
    <xf numFmtId="164" fontId="0" fillId="6" borderId="31" xfId="0" applyNumberFormat="1" applyFill="1" applyBorder="1" applyAlignment="1">
      <alignment horizontal="center" vertical="center"/>
    </xf>
    <xf numFmtId="0" fontId="0" fillId="6" borderId="48" xfId="0" applyFill="1" applyBorder="1" applyAlignment="1">
      <alignment horizontal="center" vertical="center" wrapText="1"/>
    </xf>
    <xf numFmtId="0" fontId="0" fillId="7" borderId="4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 wrapText="1"/>
    </xf>
    <xf numFmtId="0" fontId="0" fillId="6" borderId="42" xfId="0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29" xfId="0" applyNumberFormat="1" applyFont="1" applyFill="1" applyBorder="1" applyAlignment="1">
      <alignment horizontal="center" vertical="center"/>
    </xf>
    <xf numFmtId="164" fontId="3" fillId="8" borderId="4" xfId="0" applyNumberFormat="1" applyFont="1" applyFill="1" applyBorder="1" applyAlignment="1">
      <alignment horizontal="center" vertical="center"/>
    </xf>
    <xf numFmtId="164" fontId="3" fillId="8" borderId="29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4" fontId="3" fillId="6" borderId="29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0" fillId="7" borderId="46" xfId="0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164" fontId="3" fillId="7" borderId="42" xfId="0" applyNumberFormat="1" applyFont="1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8" borderId="42" xfId="0" applyFill="1" applyBorder="1" applyAlignment="1">
      <alignment horizontal="center" vertical="center"/>
    </xf>
    <xf numFmtId="164" fontId="3" fillId="8" borderId="42" xfId="0" applyNumberFormat="1" applyFont="1" applyFill="1" applyBorder="1" applyAlignment="1">
      <alignment horizontal="center" vertical="center"/>
    </xf>
    <xf numFmtId="164" fontId="0" fillId="8" borderId="42" xfId="0" applyNumberFormat="1" applyFill="1" applyBorder="1" applyAlignment="1">
      <alignment horizontal="center" vertical="center"/>
    </xf>
    <xf numFmtId="164" fontId="3" fillId="6" borderId="42" xfId="0" applyNumberFormat="1" applyFont="1" applyFill="1" applyBorder="1" applyAlignment="1">
      <alignment horizontal="center" vertical="center"/>
    </xf>
    <xf numFmtId="164" fontId="0" fillId="6" borderId="42" xfId="0" applyNumberFormat="1" applyFill="1" applyBorder="1" applyAlignment="1">
      <alignment horizontal="center" vertical="center"/>
    </xf>
    <xf numFmtId="164" fontId="0" fillId="6" borderId="43" xfId="0" applyNumberFormat="1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164" fontId="0" fillId="7" borderId="42" xfId="0" applyNumberFormat="1" applyFill="1" applyBorder="1" applyAlignment="1">
      <alignment horizontal="center" vertical="center"/>
    </xf>
    <xf numFmtId="164" fontId="0" fillId="7" borderId="42" xfId="0" applyNumberFormat="1" applyFill="1" applyBorder="1" applyAlignment="1">
      <alignment horizontal="center" vertical="center" wrapText="1"/>
    </xf>
    <xf numFmtId="0" fontId="0" fillId="0" borderId="51" xfId="0" applyBorder="1"/>
    <xf numFmtId="0" fontId="0" fillId="0" borderId="52" xfId="0" applyBorder="1"/>
    <xf numFmtId="0" fontId="0" fillId="9" borderId="54" xfId="0" applyFill="1" applyBorder="1" applyAlignment="1">
      <alignment vertical="center" wrapText="1"/>
    </xf>
    <xf numFmtId="0" fontId="0" fillId="9" borderId="55" xfId="0" applyFill="1" applyBorder="1" applyAlignment="1">
      <alignment vertical="center" wrapText="1"/>
    </xf>
    <xf numFmtId="0" fontId="0" fillId="9" borderId="56" xfId="0" applyFill="1" applyBorder="1" applyAlignment="1">
      <alignment vertical="center" wrapText="1"/>
    </xf>
    <xf numFmtId="0" fontId="0" fillId="9" borderId="57" xfId="0" applyFill="1" applyBorder="1" applyAlignment="1">
      <alignment vertical="center" wrapText="1"/>
    </xf>
    <xf numFmtId="0" fontId="1" fillId="4" borderId="58" xfId="0" applyFont="1" applyFill="1" applyBorder="1" applyAlignment="1">
      <alignment horizontal="center" vertical="center" wrapText="1"/>
    </xf>
    <xf numFmtId="0" fontId="0" fillId="7" borderId="54" xfId="0" applyFill="1" applyBorder="1" applyAlignment="1">
      <alignment horizontal="center" vertical="center"/>
    </xf>
    <xf numFmtId="164" fontId="3" fillId="7" borderId="55" xfId="0" applyNumberFormat="1" applyFont="1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/>
    </xf>
    <xf numFmtId="0" fontId="0" fillId="7" borderId="55" xfId="0" applyFill="1" applyBorder="1" applyAlignment="1">
      <alignment horizontal="center" vertical="center" wrapText="1"/>
    </xf>
    <xf numFmtId="164" fontId="0" fillId="7" borderId="55" xfId="0" applyNumberFormat="1" applyFill="1" applyBorder="1" applyAlignment="1">
      <alignment horizontal="center" vertical="center"/>
    </xf>
    <xf numFmtId="0" fontId="0" fillId="8" borderId="55" xfId="0" applyFill="1" applyBorder="1" applyAlignment="1">
      <alignment horizontal="center" vertical="center"/>
    </xf>
    <xf numFmtId="164" fontId="3" fillId="8" borderId="55" xfId="0" applyNumberFormat="1" applyFont="1" applyFill="1" applyBorder="1" applyAlignment="1">
      <alignment horizontal="center" vertical="center"/>
    </xf>
    <xf numFmtId="164" fontId="0" fillId="8" borderId="55" xfId="0" applyNumberFormat="1" applyFill="1" applyBorder="1" applyAlignment="1">
      <alignment horizontal="center" vertical="center"/>
    </xf>
    <xf numFmtId="0" fontId="0" fillId="6" borderId="55" xfId="0" applyFill="1" applyBorder="1" applyAlignment="1">
      <alignment horizontal="center" vertical="center"/>
    </xf>
    <xf numFmtId="164" fontId="3" fillId="6" borderId="55" xfId="0" applyNumberFormat="1" applyFont="1" applyFill="1" applyBorder="1" applyAlignment="1">
      <alignment horizontal="center" vertical="center"/>
    </xf>
    <xf numFmtId="164" fontId="0" fillId="6" borderId="55" xfId="0" applyNumberFormat="1" applyFill="1" applyBorder="1" applyAlignment="1">
      <alignment horizontal="center" vertical="center"/>
    </xf>
    <xf numFmtId="164" fontId="0" fillId="6" borderId="56" xfId="0" applyNumberFormat="1" applyFill="1" applyBorder="1" applyAlignment="1">
      <alignment horizontal="center" vertical="center"/>
    </xf>
    <xf numFmtId="0" fontId="0" fillId="7" borderId="57" xfId="0" applyFill="1" applyBorder="1" applyAlignment="1">
      <alignment horizontal="center" vertical="center"/>
    </xf>
    <xf numFmtId="164" fontId="0" fillId="7" borderId="55" xfId="0" applyNumberFormat="1" applyFill="1" applyBorder="1" applyAlignment="1">
      <alignment horizontal="center" vertical="center" wrapText="1"/>
    </xf>
    <xf numFmtId="0" fontId="0" fillId="0" borderId="0" xfId="0" applyBorder="1"/>
    <xf numFmtId="0" fontId="0" fillId="9" borderId="59" xfId="0" applyFill="1" applyBorder="1" applyAlignment="1">
      <alignment vertical="center" wrapText="1"/>
    </xf>
    <xf numFmtId="164" fontId="0" fillId="6" borderId="48" xfId="0" applyNumberFormat="1" applyFill="1" applyBorder="1" applyAlignment="1">
      <alignment horizontal="center" vertical="center"/>
    </xf>
    <xf numFmtId="164" fontId="0" fillId="6" borderId="60" xfId="0" applyNumberFormat="1" applyFill="1" applyBorder="1" applyAlignment="1">
      <alignment horizontal="center" vertical="center"/>
    </xf>
    <xf numFmtId="164" fontId="0" fillId="6" borderId="59" xfId="0" applyNumberForma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55" xfId="0" applyFont="1" applyFill="1" applyBorder="1" applyAlignment="1">
      <alignment horizontal="center" vertical="center"/>
    </xf>
    <xf numFmtId="2" fontId="3" fillId="7" borderId="42" xfId="0" applyNumberFormat="1" applyFont="1" applyFill="1" applyBorder="1" applyAlignment="1">
      <alignment horizontal="center" vertical="center"/>
    </xf>
    <xf numFmtId="2" fontId="3" fillId="7" borderId="55" xfId="0" applyNumberFormat="1" applyFont="1" applyFill="1" applyBorder="1" applyAlignment="1">
      <alignment horizontal="center" vertical="center"/>
    </xf>
    <xf numFmtId="2" fontId="3" fillId="7" borderId="29" xfId="0" applyNumberFormat="1" applyFont="1" applyFill="1" applyBorder="1" applyAlignment="1">
      <alignment horizontal="center" vertical="center"/>
    </xf>
    <xf numFmtId="2" fontId="0" fillId="7" borderId="42" xfId="0" applyNumberFormat="1" applyFill="1" applyBorder="1" applyAlignment="1">
      <alignment horizontal="center" vertical="center"/>
    </xf>
    <xf numFmtId="2" fontId="0" fillId="7" borderId="55" xfId="0" applyNumberFormat="1" applyFill="1" applyBorder="1" applyAlignment="1">
      <alignment horizontal="center" vertical="center"/>
    </xf>
    <xf numFmtId="2" fontId="0" fillId="7" borderId="29" xfId="0" applyNumberFormat="1" applyFill="1" applyBorder="1" applyAlignment="1">
      <alignment horizontal="center" vertical="center"/>
    </xf>
    <xf numFmtId="2" fontId="0" fillId="7" borderId="42" xfId="0" applyNumberFormat="1" applyFill="1" applyBorder="1" applyAlignment="1">
      <alignment horizontal="center" vertical="center" wrapText="1"/>
    </xf>
    <xf numFmtId="2" fontId="0" fillId="7" borderId="55" xfId="0" applyNumberFormat="1" applyFill="1" applyBorder="1" applyAlignment="1">
      <alignment horizontal="center" vertical="center" wrapText="1"/>
    </xf>
    <xf numFmtId="2" fontId="0" fillId="7" borderId="29" xfId="0" applyNumberFormat="1" applyFill="1" applyBorder="1" applyAlignment="1">
      <alignment horizontal="center" vertical="center" wrapText="1"/>
    </xf>
    <xf numFmtId="2" fontId="3" fillId="8" borderId="42" xfId="0" applyNumberFormat="1" applyFont="1" applyFill="1" applyBorder="1" applyAlignment="1">
      <alignment horizontal="center" vertical="center"/>
    </xf>
    <xf numFmtId="2" fontId="3" fillId="8" borderId="55" xfId="0" applyNumberFormat="1" applyFont="1" applyFill="1" applyBorder="1" applyAlignment="1">
      <alignment horizontal="center" vertical="center"/>
    </xf>
    <xf numFmtId="2" fontId="3" fillId="8" borderId="29" xfId="0" applyNumberFormat="1" applyFont="1" applyFill="1" applyBorder="1" applyAlignment="1">
      <alignment horizontal="center" vertical="center"/>
    </xf>
    <xf numFmtId="2" fontId="0" fillId="8" borderId="42" xfId="0" applyNumberFormat="1" applyFill="1" applyBorder="1" applyAlignment="1">
      <alignment horizontal="center" vertical="center"/>
    </xf>
    <xf numFmtId="2" fontId="0" fillId="8" borderId="55" xfId="0" applyNumberFormat="1" applyFill="1" applyBorder="1" applyAlignment="1">
      <alignment horizontal="center" vertical="center"/>
    </xf>
    <xf numFmtId="2" fontId="0" fillId="8" borderId="29" xfId="0" applyNumberFormat="1" applyFill="1" applyBorder="1" applyAlignment="1">
      <alignment horizontal="center" vertical="center"/>
    </xf>
    <xf numFmtId="165" fontId="3" fillId="6" borderId="42" xfId="0" applyNumberFormat="1" applyFont="1" applyFill="1" applyBorder="1" applyAlignment="1">
      <alignment horizontal="center" vertical="center"/>
    </xf>
    <xf numFmtId="165" fontId="3" fillId="6" borderId="55" xfId="0" applyNumberFormat="1" applyFont="1" applyFill="1" applyBorder="1" applyAlignment="1">
      <alignment horizontal="center" vertical="center"/>
    </xf>
    <xf numFmtId="165" fontId="3" fillId="6" borderId="29" xfId="0" applyNumberFormat="1" applyFont="1" applyFill="1" applyBorder="1" applyAlignment="1">
      <alignment horizontal="center" vertical="center"/>
    </xf>
    <xf numFmtId="165" fontId="0" fillId="6" borderId="42" xfId="0" applyNumberFormat="1" applyFill="1" applyBorder="1" applyAlignment="1">
      <alignment horizontal="center" vertical="center"/>
    </xf>
    <xf numFmtId="165" fontId="0" fillId="6" borderId="55" xfId="0" applyNumberFormat="1" applyFill="1" applyBorder="1" applyAlignment="1">
      <alignment horizontal="center" vertical="center"/>
    </xf>
    <xf numFmtId="165" fontId="0" fillId="6" borderId="29" xfId="0" applyNumberFormat="1" applyFill="1" applyBorder="1" applyAlignment="1">
      <alignment horizontal="center" vertical="center"/>
    </xf>
    <xf numFmtId="2" fontId="3" fillId="6" borderId="42" xfId="0" applyNumberFormat="1" applyFont="1" applyFill="1" applyBorder="1" applyAlignment="1">
      <alignment horizontal="center" vertical="center"/>
    </xf>
    <xf numFmtId="2" fontId="3" fillId="6" borderId="55" xfId="0" applyNumberFormat="1" applyFont="1" applyFill="1" applyBorder="1" applyAlignment="1">
      <alignment horizontal="center" vertical="center"/>
    </xf>
    <xf numFmtId="2" fontId="3" fillId="6" borderId="29" xfId="0" applyNumberFormat="1" applyFont="1" applyFill="1" applyBorder="1" applyAlignment="1">
      <alignment horizontal="center" vertical="center"/>
    </xf>
    <xf numFmtId="2" fontId="0" fillId="6" borderId="42" xfId="0" applyNumberFormat="1" applyFill="1" applyBorder="1" applyAlignment="1">
      <alignment horizontal="center" vertical="center"/>
    </xf>
    <xf numFmtId="2" fontId="0" fillId="6" borderId="55" xfId="0" applyNumberFormat="1" applyFill="1" applyBorder="1" applyAlignment="1">
      <alignment horizontal="center" vertical="center"/>
    </xf>
    <xf numFmtId="2" fontId="0" fillId="6" borderId="29" xfId="0" applyNumberFormat="1" applyFill="1" applyBorder="1" applyAlignment="1">
      <alignment horizontal="center" vertical="center"/>
    </xf>
    <xf numFmtId="2" fontId="0" fillId="6" borderId="48" xfId="0" applyNumberFormat="1" applyFill="1" applyBorder="1" applyAlignment="1">
      <alignment horizontal="center" vertical="center"/>
    </xf>
    <xf numFmtId="2" fontId="0" fillId="6" borderId="59" xfId="0" applyNumberFormat="1" applyFill="1" applyBorder="1" applyAlignment="1">
      <alignment horizontal="center" vertical="center"/>
    </xf>
    <xf numFmtId="2" fontId="0" fillId="6" borderId="60" xfId="0" applyNumberFormat="1" applyFill="1" applyBorder="1" applyAlignment="1">
      <alignment horizontal="center" vertical="center"/>
    </xf>
    <xf numFmtId="165" fontId="0" fillId="6" borderId="43" xfId="0" applyNumberFormat="1" applyFill="1" applyBorder="1" applyAlignment="1">
      <alignment horizontal="center" vertical="center"/>
    </xf>
    <xf numFmtId="165" fontId="0" fillId="6" borderId="56" xfId="0" applyNumberFormat="1" applyFill="1" applyBorder="1" applyAlignment="1">
      <alignment horizontal="center" vertical="center"/>
    </xf>
    <xf numFmtId="165" fontId="0" fillId="6" borderId="31" xfId="0" applyNumberFormat="1" applyFill="1" applyBorder="1" applyAlignment="1">
      <alignment horizontal="center" vertical="center"/>
    </xf>
    <xf numFmtId="2" fontId="0" fillId="6" borderId="43" xfId="0" applyNumberFormat="1" applyFill="1" applyBorder="1" applyAlignment="1">
      <alignment horizontal="center" vertical="center"/>
    </xf>
    <xf numFmtId="2" fontId="0" fillId="6" borderId="56" xfId="0" applyNumberFormat="1" applyFill="1" applyBorder="1" applyAlignment="1">
      <alignment horizontal="center" vertical="center"/>
    </xf>
    <xf numFmtId="2" fontId="0" fillId="6" borderId="31" xfId="0" applyNumberFormat="1" applyFill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/>
    <xf numFmtId="0" fontId="0" fillId="6" borderId="25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0" fillId="7" borderId="27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2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 wrapText="1"/>
    </xf>
    <xf numFmtId="0" fontId="0" fillId="7" borderId="37" xfId="0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53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0" borderId="22" xfId="0" applyBorder="1" applyAlignment="1"/>
    <xf numFmtId="0" fontId="0" fillId="0" borderId="50" xfId="0" applyBorder="1" applyAlignment="1"/>
    <xf numFmtId="0" fontId="1" fillId="2" borderId="19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4" borderId="4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1" fillId="5" borderId="5" xfId="0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9" borderId="32" xfId="0" applyFill="1" applyBorder="1" applyAlignment="1">
      <alignment horizontal="center" vertical="center" wrapText="1"/>
    </xf>
    <xf numFmtId="0" fontId="0" fillId="9" borderId="26" xfId="0" applyFill="1" applyBorder="1" applyAlignment="1">
      <alignment horizontal="center" vertical="center" wrapText="1"/>
    </xf>
    <xf numFmtId="0" fontId="0" fillId="9" borderId="33" xfId="0" applyFill="1" applyBorder="1" applyAlignment="1">
      <alignment horizontal="center" vertical="center" wrapText="1"/>
    </xf>
    <xf numFmtId="0" fontId="0" fillId="9" borderId="39" xfId="0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 wrapText="1"/>
    </xf>
    <xf numFmtId="0" fontId="0" fillId="9" borderId="41" xfId="0" applyFill="1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 wrapText="1"/>
    </xf>
    <xf numFmtId="0" fontId="0" fillId="7" borderId="26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7" borderId="32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0" fillId="8" borderId="37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6" borderId="33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8C0C-622D-450B-9B44-567304F66A29}">
  <sheetPr>
    <tabColor rgb="FFFFC000"/>
  </sheetPr>
  <dimension ref="A1:M49"/>
  <sheetViews>
    <sheetView workbookViewId="0">
      <pane ySplit="2" topLeftCell="A3" activePane="bottomLeft" state="frozen"/>
      <selection pane="bottomLeft" activeCell="L20" sqref="L20"/>
    </sheetView>
  </sheetViews>
  <sheetFormatPr defaultRowHeight="15"/>
  <cols>
    <col min="1" max="1" width="22.7109375" customWidth="1"/>
    <col min="2" max="2" width="18.85546875" bestFit="1" customWidth="1"/>
    <col min="3" max="3" width="9.28515625" bestFit="1" customWidth="1"/>
    <col min="4" max="5" width="6.28515625" bestFit="1" customWidth="1"/>
    <col min="6" max="6" width="22" bestFit="1" customWidth="1"/>
    <col min="7" max="7" width="17.7109375" bestFit="1" customWidth="1"/>
    <col min="8" max="8" width="10" customWidth="1"/>
    <col min="9" max="9" width="17.85546875" bestFit="1" customWidth="1"/>
    <col min="12" max="12" width="36.5703125" bestFit="1" customWidth="1"/>
    <col min="13" max="13" width="43.42578125" customWidth="1"/>
  </cols>
  <sheetData>
    <row r="1" spans="1:13" ht="20.100000000000001" customHeight="1">
      <c r="A1" s="230" t="s">
        <v>0</v>
      </c>
      <c r="B1" s="223" t="s">
        <v>1</v>
      </c>
      <c r="C1" s="224"/>
      <c r="D1" s="224"/>
      <c r="E1" s="224"/>
      <c r="F1" s="225" t="s">
        <v>2</v>
      </c>
      <c r="G1" s="226"/>
      <c r="H1" s="227" t="s">
        <v>3</v>
      </c>
      <c r="I1" s="227" t="s">
        <v>4</v>
      </c>
    </row>
    <row r="2" spans="1:13" ht="20.100000000000001" customHeight="1">
      <c r="A2" s="222"/>
      <c r="B2" s="14" t="s">
        <v>5</v>
      </c>
      <c r="C2" s="14" t="s">
        <v>6</v>
      </c>
      <c r="D2" s="14" t="s">
        <v>7</v>
      </c>
      <c r="E2" s="14" t="s">
        <v>8</v>
      </c>
      <c r="F2" s="37" t="s">
        <v>7</v>
      </c>
      <c r="G2" s="38" t="s">
        <v>8</v>
      </c>
      <c r="H2" s="228"/>
      <c r="I2" s="229"/>
      <c r="L2" t="s">
        <v>9</v>
      </c>
      <c r="M2" t="s">
        <v>10</v>
      </c>
    </row>
    <row r="3" spans="1:13">
      <c r="A3" s="6" t="s">
        <v>11</v>
      </c>
      <c r="B3" s="7" t="s">
        <v>12</v>
      </c>
      <c r="C3" s="7" t="s">
        <v>13</v>
      </c>
      <c r="D3" s="7">
        <v>95097</v>
      </c>
      <c r="E3" s="7">
        <v>34281</v>
      </c>
      <c r="F3" s="7" t="s">
        <v>14</v>
      </c>
      <c r="G3" s="7" t="s">
        <v>15</v>
      </c>
      <c r="H3" s="7" t="s">
        <v>16</v>
      </c>
      <c r="I3" s="8" t="s">
        <v>17</v>
      </c>
      <c r="L3" t="s">
        <v>18</v>
      </c>
      <c r="M3" s="4" t="s">
        <v>19</v>
      </c>
    </row>
    <row r="4" spans="1:13">
      <c r="A4" s="9" t="s">
        <v>20</v>
      </c>
      <c r="B4" s="1" t="s">
        <v>21</v>
      </c>
      <c r="C4" s="1" t="s">
        <v>22</v>
      </c>
      <c r="D4" s="1">
        <v>27868</v>
      </c>
      <c r="E4" s="1">
        <v>65671</v>
      </c>
      <c r="F4" s="1">
        <v>69.099999999999994</v>
      </c>
      <c r="G4" s="1">
        <v>15.7</v>
      </c>
      <c r="H4" s="1">
        <v>23.9</v>
      </c>
      <c r="I4" s="10">
        <v>4.49</v>
      </c>
      <c r="L4" s="4" t="s">
        <v>23</v>
      </c>
      <c r="M4" s="4" t="s">
        <v>24</v>
      </c>
    </row>
    <row r="5" spans="1:13">
      <c r="A5" s="16" t="s">
        <v>25</v>
      </c>
      <c r="B5" s="17" t="s">
        <v>21</v>
      </c>
      <c r="C5" s="17" t="s">
        <v>22</v>
      </c>
      <c r="D5" s="17">
        <v>63526</v>
      </c>
      <c r="E5" s="17">
        <v>36578</v>
      </c>
      <c r="F5" s="17">
        <v>68.833200000000005</v>
      </c>
      <c r="G5" s="17">
        <v>16.576599999999999</v>
      </c>
      <c r="H5" s="17">
        <v>75.599999999999994</v>
      </c>
      <c r="I5" s="39">
        <v>29.96</v>
      </c>
      <c r="L5" s="4" t="s">
        <v>26</v>
      </c>
      <c r="M5" s="4"/>
    </row>
    <row r="6" spans="1:13">
      <c r="A6" s="57" t="s">
        <v>27</v>
      </c>
      <c r="B6" s="58"/>
      <c r="C6" s="58"/>
      <c r="D6" s="58"/>
      <c r="E6" s="59"/>
      <c r="F6" s="58"/>
      <c r="G6" s="58"/>
      <c r="H6" s="58">
        <v>0</v>
      </c>
      <c r="I6" s="60">
        <v>0</v>
      </c>
      <c r="L6" t="s">
        <v>28</v>
      </c>
      <c r="M6" s="4"/>
    </row>
    <row r="7" spans="1:13">
      <c r="A7" s="52" t="s">
        <v>29</v>
      </c>
      <c r="B7" s="53" t="s">
        <v>12</v>
      </c>
      <c r="C7" s="53" t="s">
        <v>13</v>
      </c>
      <c r="D7" s="53">
        <v>91770</v>
      </c>
      <c r="E7" s="53">
        <v>36941</v>
      </c>
      <c r="F7" s="53">
        <v>68.822555655344203</v>
      </c>
      <c r="G7" s="53">
        <v>18.314766024626401</v>
      </c>
      <c r="H7" s="53" t="s">
        <v>30</v>
      </c>
      <c r="I7" s="54">
        <v>0</v>
      </c>
      <c r="L7" t="s">
        <v>31</v>
      </c>
      <c r="M7" s="4"/>
    </row>
    <row r="8" spans="1:13">
      <c r="A8" s="55" t="s">
        <v>32</v>
      </c>
      <c r="B8" s="19" t="s">
        <v>21</v>
      </c>
      <c r="C8" s="19" t="s">
        <v>22</v>
      </c>
      <c r="D8" s="19">
        <v>27048</v>
      </c>
      <c r="E8" s="19">
        <v>70095</v>
      </c>
      <c r="F8" s="19" t="s">
        <v>33</v>
      </c>
      <c r="G8" s="19" t="s">
        <v>34</v>
      </c>
      <c r="H8" s="19">
        <v>2.2999999999999998</v>
      </c>
      <c r="I8" s="56">
        <v>0</v>
      </c>
      <c r="L8" s="4" t="s">
        <v>35</v>
      </c>
      <c r="M8" s="4"/>
    </row>
    <row r="9" spans="1:13">
      <c r="A9" s="55" t="s">
        <v>36</v>
      </c>
      <c r="B9" s="19" t="s">
        <v>21</v>
      </c>
      <c r="C9" s="19" t="s">
        <v>22</v>
      </c>
      <c r="D9" s="19">
        <v>83941</v>
      </c>
      <c r="E9" s="49">
        <v>14233</v>
      </c>
      <c r="F9" s="19" t="s">
        <v>37</v>
      </c>
      <c r="G9" s="19" t="s">
        <v>38</v>
      </c>
      <c r="H9" s="19" t="s">
        <v>39</v>
      </c>
      <c r="I9" s="56">
        <v>0</v>
      </c>
      <c r="L9" s="4"/>
      <c r="M9" s="4"/>
    </row>
    <row r="10" spans="1:13">
      <c r="A10" s="57" t="s">
        <v>27</v>
      </c>
      <c r="B10" s="58"/>
      <c r="C10" s="58"/>
      <c r="D10" s="58"/>
      <c r="E10" s="59"/>
      <c r="F10" s="58"/>
      <c r="G10" s="58"/>
      <c r="H10" s="58">
        <v>0</v>
      </c>
      <c r="I10" s="60">
        <v>0</v>
      </c>
      <c r="L10" s="4"/>
      <c r="M10" s="4"/>
    </row>
    <row r="11" spans="1:13">
      <c r="A11" s="50" t="s">
        <v>40</v>
      </c>
      <c r="B11" s="2" t="s">
        <v>12</v>
      </c>
      <c r="C11" s="2" t="s">
        <v>13</v>
      </c>
      <c r="D11" s="2">
        <v>98876</v>
      </c>
      <c r="E11" s="2">
        <v>29642</v>
      </c>
      <c r="F11" s="2">
        <v>68.759847300000004</v>
      </c>
      <c r="G11" s="2">
        <v>18.4982224</v>
      </c>
      <c r="H11" s="2">
        <v>378.3</v>
      </c>
      <c r="I11" s="51" t="s">
        <v>41</v>
      </c>
      <c r="L11" s="4"/>
      <c r="M11" s="4"/>
    </row>
    <row r="12" spans="1:13" ht="18">
      <c r="A12" s="9" t="s">
        <v>42</v>
      </c>
      <c r="B12" s="1" t="s">
        <v>12</v>
      </c>
      <c r="C12" s="1" t="s">
        <v>43</v>
      </c>
      <c r="D12" s="5" t="s">
        <v>44</v>
      </c>
      <c r="E12" s="1">
        <v>22520</v>
      </c>
      <c r="F12" s="1">
        <v>68.698456100000001</v>
      </c>
      <c r="G12" s="1">
        <v>18.675317</v>
      </c>
      <c r="H12" s="1" t="s">
        <v>45</v>
      </c>
      <c r="I12" s="10" t="s">
        <v>46</v>
      </c>
      <c r="L12" s="3"/>
      <c r="M12" s="4"/>
    </row>
    <row r="13" spans="1:13">
      <c r="A13" s="9" t="s">
        <v>47</v>
      </c>
      <c r="B13" s="1" t="s">
        <v>12</v>
      </c>
      <c r="C13" s="1" t="s">
        <v>43</v>
      </c>
      <c r="D13" s="1">
        <v>13768</v>
      </c>
      <c r="E13" s="1">
        <v>14375</v>
      </c>
      <c r="F13" s="1">
        <v>68.628049200000007</v>
      </c>
      <c r="G13" s="1">
        <v>18.879329599999998</v>
      </c>
      <c r="H13" s="1" t="s">
        <v>48</v>
      </c>
      <c r="I13" s="10" t="s">
        <v>49</v>
      </c>
      <c r="L13" s="4"/>
      <c r="M13" s="4"/>
    </row>
    <row r="14" spans="1:13">
      <c r="A14" s="16" t="s">
        <v>50</v>
      </c>
      <c r="B14" s="17" t="s">
        <v>12</v>
      </c>
      <c r="C14" s="17" t="s">
        <v>43</v>
      </c>
      <c r="D14" s="17">
        <v>19721</v>
      </c>
      <c r="E14" s="40" t="s">
        <v>51</v>
      </c>
      <c r="F14" s="17">
        <v>68.573901800000002</v>
      </c>
      <c r="G14" s="17">
        <v>19.030525099999998</v>
      </c>
      <c r="H14" s="17" t="s">
        <v>52</v>
      </c>
      <c r="I14" s="39">
        <v>40</v>
      </c>
      <c r="L14" s="4"/>
      <c r="M14" s="4"/>
    </row>
    <row r="15" spans="1:13">
      <c r="A15" s="6" t="s">
        <v>53</v>
      </c>
      <c r="B15" s="7" t="s">
        <v>21</v>
      </c>
      <c r="C15" s="7" t="s">
        <v>22</v>
      </c>
      <c r="D15" s="7">
        <v>28847</v>
      </c>
      <c r="E15" s="7">
        <v>60247</v>
      </c>
      <c r="F15" s="7" t="s">
        <v>54</v>
      </c>
      <c r="G15" s="7" t="s">
        <v>55</v>
      </c>
      <c r="H15" s="7">
        <v>256.60000000000002</v>
      </c>
      <c r="I15" s="8">
        <v>9.98</v>
      </c>
      <c r="L15" s="4"/>
      <c r="M15" s="4"/>
    </row>
    <row r="16" spans="1:13">
      <c r="A16" s="9" t="s">
        <v>56</v>
      </c>
      <c r="B16" s="1" t="s">
        <v>21</v>
      </c>
      <c r="C16" s="1" t="s">
        <v>22</v>
      </c>
      <c r="D16" s="1">
        <v>30732</v>
      </c>
      <c r="E16" s="1">
        <v>49925</v>
      </c>
      <c r="F16" s="1" t="s">
        <v>57</v>
      </c>
      <c r="G16" s="1" t="s">
        <v>58</v>
      </c>
      <c r="H16" s="1">
        <v>2</v>
      </c>
      <c r="I16" s="10">
        <v>20.34</v>
      </c>
      <c r="L16" s="4"/>
      <c r="M16" s="4"/>
    </row>
    <row r="17" spans="1:13">
      <c r="A17" s="16" t="s">
        <v>59</v>
      </c>
      <c r="B17" s="17" t="s">
        <v>21</v>
      </c>
      <c r="C17" s="17" t="s">
        <v>22</v>
      </c>
      <c r="D17" s="17">
        <v>32453</v>
      </c>
      <c r="E17" s="17">
        <v>40501</v>
      </c>
      <c r="F17" s="17" t="s">
        <v>60</v>
      </c>
      <c r="G17" s="17" t="s">
        <v>61</v>
      </c>
      <c r="H17" s="17">
        <v>283.8</v>
      </c>
      <c r="I17" s="39">
        <v>30</v>
      </c>
      <c r="L17" s="4" t="s">
        <v>62</v>
      </c>
      <c r="M17" s="4" t="s">
        <v>63</v>
      </c>
    </row>
    <row r="18" spans="1:13">
      <c r="A18" s="6" t="s">
        <v>64</v>
      </c>
      <c r="B18" s="7" t="s">
        <v>21</v>
      </c>
      <c r="C18" s="7" t="s">
        <v>65</v>
      </c>
      <c r="D18" s="20">
        <v>97859</v>
      </c>
      <c r="E18" s="7">
        <v>93457</v>
      </c>
      <c r="F18" s="7" t="s">
        <v>66</v>
      </c>
      <c r="G18" s="7" t="s">
        <v>67</v>
      </c>
      <c r="H18" s="7">
        <v>29.2</v>
      </c>
      <c r="I18" s="8">
        <v>24.93</v>
      </c>
      <c r="J18" t="s">
        <v>68</v>
      </c>
      <c r="L18" s="4" t="s">
        <v>69</v>
      </c>
      <c r="M18" s="4" t="s">
        <v>70</v>
      </c>
    </row>
    <row r="19" spans="1:13">
      <c r="A19" s="9" t="s">
        <v>71</v>
      </c>
      <c r="B19" s="1" t="s">
        <v>21</v>
      </c>
      <c r="C19" s="1" t="s">
        <v>72</v>
      </c>
      <c r="D19" s="5" t="s">
        <v>73</v>
      </c>
      <c r="E19" s="1">
        <v>94111</v>
      </c>
      <c r="F19" s="1" t="s">
        <v>74</v>
      </c>
      <c r="G19" s="1" t="s">
        <v>75</v>
      </c>
      <c r="H19" s="1">
        <v>44.3</v>
      </c>
      <c r="I19" s="10">
        <v>25.72</v>
      </c>
      <c r="J19" t="s">
        <v>76</v>
      </c>
      <c r="L19" s="4" t="s">
        <v>69</v>
      </c>
      <c r="M19" s="4" t="s">
        <v>77</v>
      </c>
    </row>
    <row r="20" spans="1:13">
      <c r="A20" s="11" t="s">
        <v>78</v>
      </c>
      <c r="B20" s="12" t="s">
        <v>21</v>
      </c>
      <c r="C20" s="12" t="s">
        <v>65</v>
      </c>
      <c r="D20" s="21">
        <v>99459</v>
      </c>
      <c r="E20" s="12">
        <v>92573</v>
      </c>
      <c r="F20" s="12" t="s">
        <v>79</v>
      </c>
      <c r="G20" s="12" t="s">
        <v>80</v>
      </c>
      <c r="H20" s="12">
        <v>3.4</v>
      </c>
      <c r="I20" s="13">
        <v>26.56</v>
      </c>
      <c r="J20" t="s">
        <v>81</v>
      </c>
      <c r="L20" s="4" t="s">
        <v>82</v>
      </c>
      <c r="M20" s="4" t="s">
        <v>83</v>
      </c>
    </row>
    <row r="21" spans="1:13">
      <c r="L21" s="4"/>
      <c r="M21" s="4"/>
    </row>
    <row r="22" spans="1:13">
      <c r="L22" s="4"/>
      <c r="M22" s="4"/>
    </row>
    <row r="23" spans="1:13">
      <c r="L23" s="4"/>
      <c r="M23" s="4"/>
    </row>
    <row r="24" spans="1:13">
      <c r="L24" s="4"/>
      <c r="M24" s="4"/>
    </row>
    <row r="25" spans="1:13">
      <c r="L25" s="4"/>
      <c r="M25" s="4"/>
    </row>
    <row r="41" spans="1:13" ht="30.75">
      <c r="A41" s="4" t="s">
        <v>84</v>
      </c>
    </row>
    <row r="42" spans="1:13" ht="18">
      <c r="A42" s="1" t="s">
        <v>53</v>
      </c>
      <c r="B42" s="1" t="s">
        <v>12</v>
      </c>
      <c r="C42" s="1" t="s">
        <v>13</v>
      </c>
      <c r="D42" s="1">
        <v>84795</v>
      </c>
      <c r="E42" s="1">
        <v>29726</v>
      </c>
      <c r="F42" s="1">
        <v>68.755100299999995</v>
      </c>
      <c r="G42" s="1">
        <v>18.150281100000001</v>
      </c>
      <c r="H42" s="1" t="s">
        <v>85</v>
      </c>
      <c r="I42" s="1">
        <v>10</v>
      </c>
      <c r="L42" s="3"/>
      <c r="M42" s="4"/>
    </row>
    <row r="43" spans="1:13">
      <c r="A43" s="1" t="s">
        <v>56</v>
      </c>
      <c r="B43" s="1" t="s">
        <v>21</v>
      </c>
      <c r="C43" s="1" t="s">
        <v>86</v>
      </c>
      <c r="D43" s="1">
        <v>20957</v>
      </c>
      <c r="E43" s="1">
        <v>22482</v>
      </c>
      <c r="F43" s="1">
        <v>68.687772800000005</v>
      </c>
      <c r="G43" s="1">
        <v>17.9831188</v>
      </c>
      <c r="H43" s="1" t="s">
        <v>87</v>
      </c>
      <c r="I43" s="1" t="s">
        <v>88</v>
      </c>
      <c r="L43" s="4"/>
      <c r="M43" s="4"/>
    </row>
    <row r="44" spans="1:13">
      <c r="A44" s="1" t="s">
        <v>59</v>
      </c>
      <c r="B44" s="1" t="s">
        <v>21</v>
      </c>
      <c r="C44" s="1" t="s">
        <v>86</v>
      </c>
      <c r="D44" s="1">
        <v>14334</v>
      </c>
      <c r="E44" s="1">
        <v>15031</v>
      </c>
      <c r="F44" s="1">
        <v>68.623834900000006</v>
      </c>
      <c r="G44" s="1">
        <v>17.811640100000002</v>
      </c>
      <c r="H44" s="1" t="s">
        <v>89</v>
      </c>
      <c r="I44" s="1">
        <v>30</v>
      </c>
      <c r="L44" s="4"/>
      <c r="M44" s="4"/>
    </row>
    <row r="45" spans="1:13">
      <c r="A45" s="1" t="s">
        <v>90</v>
      </c>
      <c r="B45" s="1" t="s">
        <v>21</v>
      </c>
      <c r="C45" s="1" t="s">
        <v>86</v>
      </c>
      <c r="D45" s="5" t="s">
        <v>91</v>
      </c>
      <c r="E45" s="5" t="s">
        <v>92</v>
      </c>
      <c r="F45" s="1">
        <v>68.553845600000002</v>
      </c>
      <c r="G45" s="1">
        <v>17.656676099999999</v>
      </c>
      <c r="H45" s="1" t="s">
        <v>93</v>
      </c>
      <c r="I45" s="1">
        <v>40</v>
      </c>
      <c r="L45" s="4"/>
      <c r="M45" s="4"/>
    </row>
    <row r="46" spans="1:13" ht="18">
      <c r="A46" s="1" t="s">
        <v>64</v>
      </c>
      <c r="B46" s="1" t="s">
        <v>12</v>
      </c>
      <c r="C46" s="1" t="s">
        <v>13</v>
      </c>
      <c r="D46" s="1">
        <v>84341</v>
      </c>
      <c r="E46" s="1">
        <v>43689</v>
      </c>
      <c r="F46" s="1">
        <v>68.879985500000004</v>
      </c>
      <c r="G46" s="1">
        <v>18.122894800000001</v>
      </c>
      <c r="H46" s="1" t="s">
        <v>94</v>
      </c>
      <c r="I46" s="1">
        <v>10</v>
      </c>
      <c r="L46" s="3"/>
      <c r="M46" s="4"/>
    </row>
    <row r="47" spans="1:13">
      <c r="A47" s="1" t="s">
        <v>71</v>
      </c>
      <c r="B47" s="1" t="s">
        <v>21</v>
      </c>
      <c r="C47" s="1" t="s">
        <v>86</v>
      </c>
      <c r="D47" s="1">
        <v>17500</v>
      </c>
      <c r="E47" s="1">
        <v>50176</v>
      </c>
      <c r="F47" s="1">
        <v>68.937309400000004</v>
      </c>
      <c r="G47" s="1">
        <v>17.930541600000002</v>
      </c>
      <c r="H47" s="1" t="s">
        <v>95</v>
      </c>
      <c r="I47" s="1">
        <v>20</v>
      </c>
      <c r="L47" s="4"/>
      <c r="M47" s="4"/>
    </row>
    <row r="48" spans="1:13">
      <c r="A48" s="1" t="s">
        <v>78</v>
      </c>
      <c r="B48" s="1" t="s">
        <v>21</v>
      </c>
      <c r="C48" s="1" t="s">
        <v>86</v>
      </c>
      <c r="D48" s="5" t="s">
        <v>96</v>
      </c>
      <c r="E48" s="1">
        <v>56196</v>
      </c>
      <c r="F48" s="1">
        <v>68.994550500000003</v>
      </c>
      <c r="G48" s="1">
        <v>17.7372093</v>
      </c>
      <c r="H48" s="1" t="s">
        <v>97</v>
      </c>
      <c r="I48" s="1">
        <v>30</v>
      </c>
      <c r="L48" s="4"/>
      <c r="M48" s="4"/>
    </row>
    <row r="49" spans="1:13">
      <c r="A49" s="1" t="s">
        <v>98</v>
      </c>
      <c r="B49" s="1" t="s">
        <v>21</v>
      </c>
      <c r="C49" s="1" t="s">
        <v>86</v>
      </c>
      <c r="D49" s="5" t="s">
        <v>99</v>
      </c>
      <c r="E49" s="1">
        <v>62610</v>
      </c>
      <c r="F49" s="1">
        <v>69.055331300000006</v>
      </c>
      <c r="G49" s="1">
        <v>17.528447499999999</v>
      </c>
      <c r="H49" s="1" t="s">
        <v>100</v>
      </c>
      <c r="I49" s="1" t="s">
        <v>101</v>
      </c>
      <c r="L49" s="4"/>
      <c r="M49" s="4"/>
    </row>
  </sheetData>
  <mergeCells count="5">
    <mergeCell ref="B1:E1"/>
    <mergeCell ref="F1:G1"/>
    <mergeCell ref="H1:H2"/>
    <mergeCell ref="I1:I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7D130-A835-4458-A926-796140A33D16}">
  <sheetPr>
    <tabColor rgb="FFFF0000"/>
  </sheetPr>
  <dimension ref="A1:K38"/>
  <sheetViews>
    <sheetView workbookViewId="0">
      <pane ySplit="2" topLeftCell="A3" activePane="bottomLeft" state="frozen"/>
      <selection pane="bottomLeft" activeCell="D41" sqref="D41"/>
    </sheetView>
  </sheetViews>
  <sheetFormatPr defaultRowHeight="15"/>
  <cols>
    <col min="1" max="1" width="8" customWidth="1"/>
    <col min="2" max="2" width="10" style="48" bestFit="1" customWidth="1"/>
    <col min="3" max="3" width="12.85546875" style="48" bestFit="1" customWidth="1"/>
    <col min="4" max="4" width="11.7109375" style="48" bestFit="1" customWidth="1"/>
    <col min="5" max="5" width="15.28515625" bestFit="1" customWidth="1"/>
    <col min="6" max="6" width="12.140625" bestFit="1" customWidth="1"/>
    <col min="7" max="7" width="14.42578125" style="48" bestFit="1" customWidth="1"/>
    <col min="8" max="8" width="15" bestFit="1" customWidth="1"/>
    <col min="9" max="9" width="13.28515625" style="48" bestFit="1" customWidth="1"/>
    <col min="10" max="10" width="34.85546875" customWidth="1"/>
    <col min="11" max="11" width="33.5703125" customWidth="1"/>
    <col min="12" max="12" width="12.42578125" bestFit="1" customWidth="1"/>
  </cols>
  <sheetData>
    <row r="1" spans="1:11" ht="20.100000000000001" customHeight="1">
      <c r="A1" s="219" t="s">
        <v>102</v>
      </c>
      <c r="B1" s="221" t="s">
        <v>103</v>
      </c>
      <c r="C1" s="221" t="s">
        <v>104</v>
      </c>
      <c r="D1" s="221" t="s">
        <v>10</v>
      </c>
      <c r="E1" s="221" t="s">
        <v>9</v>
      </c>
      <c r="F1" s="212" t="s">
        <v>105</v>
      </c>
      <c r="G1" s="231" t="s">
        <v>106</v>
      </c>
      <c r="H1" s="232"/>
      <c r="I1" s="212" t="s">
        <v>107</v>
      </c>
      <c r="J1" s="233" t="s">
        <v>108</v>
      </c>
      <c r="K1" s="217"/>
    </row>
    <row r="2" spans="1:11" ht="20.100000000000001" customHeight="1">
      <c r="A2" s="220"/>
      <c r="B2" s="222"/>
      <c r="C2" s="222"/>
      <c r="D2" s="222"/>
      <c r="E2" s="222"/>
      <c r="F2" s="213"/>
      <c r="G2" s="23" t="s">
        <v>109</v>
      </c>
      <c r="H2" s="14" t="s">
        <v>110</v>
      </c>
      <c r="I2" s="213"/>
      <c r="J2" s="15" t="s">
        <v>111</v>
      </c>
      <c r="K2" s="15" t="s">
        <v>112</v>
      </c>
    </row>
    <row r="3" spans="1:11">
      <c r="A3" s="32">
        <v>1</v>
      </c>
      <c r="B3" s="234" t="s">
        <v>27</v>
      </c>
      <c r="C3" s="237" t="s">
        <v>27</v>
      </c>
      <c r="D3" s="234" t="s">
        <v>19</v>
      </c>
      <c r="E3" s="240" t="s">
        <v>35</v>
      </c>
      <c r="F3" s="187" t="s">
        <v>40</v>
      </c>
      <c r="G3" s="243" t="s">
        <v>113</v>
      </c>
      <c r="H3" s="27" t="s">
        <v>114</v>
      </c>
      <c r="I3" s="195">
        <v>31000</v>
      </c>
      <c r="J3" s="190">
        <v>52.635021000000002</v>
      </c>
      <c r="K3" s="190">
        <v>20.784625999999999</v>
      </c>
    </row>
    <row r="4" spans="1:11">
      <c r="A4" s="34">
        <v>2</v>
      </c>
      <c r="B4" s="235"/>
      <c r="C4" s="238"/>
      <c r="D4" s="235"/>
      <c r="E4" s="241"/>
      <c r="F4" s="189" t="s">
        <v>40</v>
      </c>
      <c r="G4" s="244"/>
      <c r="H4" s="28" t="s">
        <v>115</v>
      </c>
      <c r="I4" s="196"/>
      <c r="J4" s="188">
        <v>52.635021000000002</v>
      </c>
      <c r="K4" s="188">
        <v>20.784625999999999</v>
      </c>
    </row>
    <row r="5" spans="1:11">
      <c r="A5" s="34">
        <v>3</v>
      </c>
      <c r="B5" s="235"/>
      <c r="C5" s="238"/>
      <c r="D5" s="209"/>
      <c r="E5" s="241"/>
      <c r="F5" s="189" t="s">
        <v>40</v>
      </c>
      <c r="G5" s="244"/>
      <c r="H5" s="28" t="s">
        <v>116</v>
      </c>
      <c r="I5" s="196"/>
      <c r="J5" s="188">
        <v>52.635021000000002</v>
      </c>
      <c r="K5" s="188">
        <v>20.784625999999999</v>
      </c>
    </row>
    <row r="6" spans="1:11">
      <c r="A6" s="34">
        <v>4</v>
      </c>
      <c r="B6" s="235"/>
      <c r="C6" s="238"/>
      <c r="D6" s="203" t="s">
        <v>24</v>
      </c>
      <c r="E6" s="241"/>
      <c r="F6" s="189" t="s">
        <v>40</v>
      </c>
      <c r="G6" s="244"/>
      <c r="H6" s="28" t="s">
        <v>114</v>
      </c>
      <c r="I6" s="196"/>
      <c r="J6" s="188">
        <v>52.635021000000002</v>
      </c>
      <c r="K6" s="188">
        <v>20.784625999999999</v>
      </c>
    </row>
    <row r="7" spans="1:11">
      <c r="A7" s="34">
        <v>5</v>
      </c>
      <c r="B7" s="235"/>
      <c r="C7" s="238"/>
      <c r="D7" s="235"/>
      <c r="E7" s="241"/>
      <c r="F7" s="189" t="s">
        <v>40</v>
      </c>
      <c r="G7" s="244"/>
      <c r="H7" s="28" t="s">
        <v>115</v>
      </c>
      <c r="I7" s="196"/>
      <c r="J7" s="188">
        <v>52.635021000000002</v>
      </c>
      <c r="K7" s="188">
        <v>20.784625999999999</v>
      </c>
    </row>
    <row r="8" spans="1:11">
      <c r="A8" s="34">
        <v>6</v>
      </c>
      <c r="B8" s="235"/>
      <c r="C8" s="238"/>
      <c r="D8" s="235"/>
      <c r="E8" s="241"/>
      <c r="F8" s="189" t="s">
        <v>40</v>
      </c>
      <c r="G8" s="244"/>
      <c r="H8" s="28" t="s">
        <v>116</v>
      </c>
      <c r="I8" s="196"/>
      <c r="J8" s="188">
        <v>52.635021000000002</v>
      </c>
      <c r="K8" s="188">
        <v>20.784625999999999</v>
      </c>
    </row>
    <row r="9" spans="1:11">
      <c r="A9" s="36">
        <v>7</v>
      </c>
      <c r="B9" s="235"/>
      <c r="C9" s="238"/>
      <c r="D9" s="235"/>
      <c r="E9" s="241"/>
      <c r="F9" s="192" t="s">
        <v>42</v>
      </c>
      <c r="G9" s="244"/>
      <c r="H9" s="26" t="s">
        <v>114</v>
      </c>
      <c r="I9" s="196"/>
      <c r="J9" s="25">
        <v>133.44621100000001</v>
      </c>
      <c r="K9" s="25">
        <v>27.576827000000002</v>
      </c>
    </row>
    <row r="10" spans="1:11">
      <c r="A10" s="36">
        <v>8</v>
      </c>
      <c r="B10" s="235"/>
      <c r="C10" s="238"/>
      <c r="D10" s="235"/>
      <c r="E10" s="241"/>
      <c r="F10" s="192" t="s">
        <v>42</v>
      </c>
      <c r="G10" s="244"/>
      <c r="H10" s="26" t="s">
        <v>115</v>
      </c>
      <c r="I10" s="196"/>
      <c r="J10" s="25">
        <v>133.44621100000001</v>
      </c>
      <c r="K10" s="25">
        <v>27.576827000000002</v>
      </c>
    </row>
    <row r="11" spans="1:11">
      <c r="A11" s="36">
        <v>9</v>
      </c>
      <c r="B11" s="235"/>
      <c r="C11" s="238"/>
      <c r="D11" s="235"/>
      <c r="E11" s="241"/>
      <c r="F11" s="192" t="s">
        <v>42</v>
      </c>
      <c r="G11" s="244"/>
      <c r="H11" s="26" t="s">
        <v>116</v>
      </c>
      <c r="I11" s="196"/>
      <c r="J11" s="25">
        <v>133.44621100000001</v>
      </c>
      <c r="K11" s="25">
        <v>27.576827000000002</v>
      </c>
    </row>
    <row r="12" spans="1:11">
      <c r="A12" s="35">
        <v>10</v>
      </c>
      <c r="B12" s="235"/>
      <c r="C12" s="238"/>
      <c r="D12" s="235"/>
      <c r="E12" s="241"/>
      <c r="F12" s="193" t="s">
        <v>47</v>
      </c>
      <c r="G12" s="244"/>
      <c r="H12" s="29" t="s">
        <v>114</v>
      </c>
      <c r="I12" s="196"/>
      <c r="J12" s="24" t="s">
        <v>117</v>
      </c>
      <c r="K12" s="24">
        <v>37.100397999999998</v>
      </c>
    </row>
    <row r="13" spans="1:11">
      <c r="A13" s="35">
        <v>11</v>
      </c>
      <c r="B13" s="235"/>
      <c r="C13" s="238"/>
      <c r="D13" s="235"/>
      <c r="E13" s="241"/>
      <c r="F13" s="193" t="s">
        <v>47</v>
      </c>
      <c r="G13" s="244"/>
      <c r="H13" s="29" t="s">
        <v>115</v>
      </c>
      <c r="I13" s="196"/>
      <c r="J13" s="24" t="s">
        <v>117</v>
      </c>
      <c r="K13" s="24">
        <v>37.100397999999998</v>
      </c>
    </row>
    <row r="14" spans="1:11">
      <c r="A14" s="33">
        <v>12</v>
      </c>
      <c r="B14" s="236"/>
      <c r="C14" s="239"/>
      <c r="D14" s="236"/>
      <c r="E14" s="242"/>
      <c r="F14" s="194" t="s">
        <v>47</v>
      </c>
      <c r="G14" s="245"/>
      <c r="H14" s="30" t="s">
        <v>116</v>
      </c>
      <c r="I14" s="197"/>
      <c r="J14" s="31" t="s">
        <v>117</v>
      </c>
      <c r="K14" s="31">
        <v>37.100397999999998</v>
      </c>
    </row>
    <row r="15" spans="1:11">
      <c r="B15" s="185"/>
      <c r="C15" s="185"/>
      <c r="D15" s="185"/>
      <c r="G15" s="185"/>
      <c r="I15" s="185"/>
    </row>
    <row r="16" spans="1:11">
      <c r="B16" s="185"/>
      <c r="C16" s="185"/>
      <c r="D16" s="185"/>
      <c r="G16" s="185"/>
      <c r="I16" s="185"/>
    </row>
    <row r="17" spans="2:9">
      <c r="B17" s="185"/>
      <c r="C17" s="185"/>
      <c r="D17" s="185"/>
      <c r="G17" s="185"/>
      <c r="I17" s="185"/>
    </row>
    <row r="18" spans="2:9">
      <c r="B18" s="185"/>
      <c r="C18" s="185"/>
      <c r="D18" s="185"/>
      <c r="G18" s="185"/>
      <c r="I18" s="185"/>
    </row>
    <row r="19" spans="2:9">
      <c r="B19" s="185"/>
      <c r="C19" s="185"/>
      <c r="D19" s="185"/>
      <c r="G19" s="185"/>
      <c r="I19" s="185"/>
    </row>
    <row r="20" spans="2:9">
      <c r="B20" s="185"/>
      <c r="C20" s="185"/>
      <c r="D20" s="185"/>
      <c r="G20" s="185"/>
      <c r="I20" s="185"/>
    </row>
    <row r="21" spans="2:9">
      <c r="B21" s="185"/>
      <c r="C21" s="185"/>
      <c r="D21" s="185"/>
      <c r="G21" s="185"/>
      <c r="I21" s="185"/>
    </row>
    <row r="22" spans="2:9">
      <c r="B22" s="185"/>
      <c r="C22" s="185"/>
      <c r="D22" s="185"/>
      <c r="G22" s="185"/>
      <c r="I22" s="185"/>
    </row>
    <row r="23" spans="2:9">
      <c r="B23" s="185"/>
      <c r="C23" s="185"/>
      <c r="D23" s="185"/>
      <c r="G23" s="185"/>
      <c r="I23" s="185"/>
    </row>
    <row r="24" spans="2:9">
      <c r="B24" s="185"/>
      <c r="C24" s="185"/>
      <c r="D24" s="185"/>
      <c r="G24" s="185"/>
      <c r="I24" s="185"/>
    </row>
    <row r="25" spans="2:9">
      <c r="B25" s="185"/>
      <c r="C25" s="185"/>
      <c r="D25" s="185"/>
      <c r="G25" s="185"/>
      <c r="I25" s="185"/>
    </row>
    <row r="26" spans="2:9">
      <c r="B26" s="185"/>
      <c r="C26" s="185"/>
      <c r="D26" s="185"/>
      <c r="G26" s="185"/>
      <c r="I26" s="185"/>
    </row>
    <row r="27" spans="2:9">
      <c r="B27" s="185"/>
      <c r="C27" s="185"/>
      <c r="D27" s="185"/>
      <c r="G27" s="185"/>
      <c r="I27" s="185"/>
    </row>
    <row r="28" spans="2:9">
      <c r="B28" s="185"/>
      <c r="C28" s="185"/>
      <c r="D28" s="185"/>
      <c r="G28" s="185"/>
      <c r="I28" s="185"/>
    </row>
    <row r="29" spans="2:9">
      <c r="B29" s="185"/>
      <c r="C29" s="185"/>
      <c r="D29" s="185"/>
      <c r="G29" s="185"/>
      <c r="I29" s="185"/>
    </row>
    <row r="30" spans="2:9">
      <c r="B30" s="185"/>
      <c r="C30" s="185"/>
      <c r="D30" s="185"/>
      <c r="G30" s="185"/>
      <c r="I30" s="185"/>
    </row>
    <row r="31" spans="2:9">
      <c r="B31" s="185"/>
      <c r="C31" s="185"/>
      <c r="D31" s="185"/>
      <c r="G31" s="185"/>
      <c r="I31" s="185"/>
    </row>
    <row r="32" spans="2:9">
      <c r="B32" s="185"/>
      <c r="C32" s="185"/>
      <c r="D32" s="185"/>
      <c r="G32" s="185"/>
      <c r="I32" s="185"/>
    </row>
    <row r="33" spans="2:9">
      <c r="B33" s="185"/>
      <c r="C33" s="185"/>
      <c r="D33" s="185"/>
      <c r="G33" s="185"/>
      <c r="I33" s="185"/>
    </row>
    <row r="34" spans="2:9">
      <c r="B34" s="185"/>
      <c r="C34" s="185"/>
      <c r="D34" s="185"/>
      <c r="G34" s="185"/>
      <c r="I34" s="185"/>
    </row>
    <row r="35" spans="2:9">
      <c r="B35" s="185"/>
      <c r="C35" s="185"/>
      <c r="D35" s="185"/>
      <c r="G35" s="185"/>
      <c r="I35" s="185"/>
    </row>
    <row r="36" spans="2:9">
      <c r="B36" s="185"/>
      <c r="C36" s="185"/>
      <c r="D36" s="185"/>
      <c r="G36" s="185"/>
      <c r="I36" s="185"/>
    </row>
    <row r="37" spans="2:9">
      <c r="B37" s="185"/>
      <c r="C37" s="185"/>
      <c r="D37" s="185"/>
      <c r="G37" s="185"/>
      <c r="I37" s="185"/>
    </row>
    <row r="38" spans="2:9">
      <c r="B38" s="185"/>
      <c r="C38" s="185"/>
      <c r="D38" s="185"/>
      <c r="G38" s="185"/>
      <c r="I38" s="185"/>
    </row>
  </sheetData>
  <mergeCells count="16">
    <mergeCell ref="A1:A2"/>
    <mergeCell ref="B1:B2"/>
    <mergeCell ref="C1:C2"/>
    <mergeCell ref="D1:D2"/>
    <mergeCell ref="E1:E2"/>
    <mergeCell ref="G1:H1"/>
    <mergeCell ref="I1:I2"/>
    <mergeCell ref="J1:K1"/>
    <mergeCell ref="B3:B14"/>
    <mergeCell ref="C3:C14"/>
    <mergeCell ref="D3:D5"/>
    <mergeCell ref="E3:E14"/>
    <mergeCell ref="I3:I14"/>
    <mergeCell ref="F1:F2"/>
    <mergeCell ref="G3:G14"/>
    <mergeCell ref="D6:D14"/>
  </mergeCells>
  <dataValidations count="1">
    <dataValidation allowBlank="1" showInputMessage="1" showErrorMessage="1" sqref="D1:D2" xr:uid="{1967C7A4-8F19-4686-A555-0A81240DDC2D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11F5626-7FB5-4030-A478-13759A717C8D}">
          <x14:formula1>
            <xm:f>'DATA - IKKE RØR'!$A$11:$A$20</xm:f>
          </x14:formula1>
          <xm:sqref>F3:F14</xm:sqref>
        </x14:dataValidation>
        <x14:dataValidation type="list" allowBlank="1" showInputMessage="1" showErrorMessage="1" xr:uid="{5E33B913-6BD4-49BE-B6D5-C541A7A5F020}">
          <x14:formula1>
            <xm:f>'DATA - IKKE RØR'!$A$7:$A$10</xm:f>
          </x14:formula1>
          <xm:sqref>B3:B14</xm:sqref>
        </x14:dataValidation>
        <x14:dataValidation type="list" allowBlank="1" showInputMessage="1" showErrorMessage="1" xr:uid="{2AE2FACC-194D-4C01-9FD9-83FF04D0F516}">
          <x14:formula1>
            <xm:f>'DATA - IKKE RØR'!$A$3:$A$6</xm:f>
          </x14:formula1>
          <xm:sqref>C3:C14</xm:sqref>
        </x14:dataValidation>
        <x14:dataValidation type="list" allowBlank="1" showInputMessage="1" showErrorMessage="1" xr:uid="{D866D86C-F694-420A-BC62-1F8D39C8F0F8}">
          <x14:formula1>
            <xm:f>'DATA - IKKE RØR'!$M$3:$M$4</xm:f>
          </x14:formula1>
          <xm:sqref>D3:D14</xm:sqref>
        </x14:dataValidation>
        <x14:dataValidation type="list" allowBlank="1" showInputMessage="1" showErrorMessage="1" xr:uid="{4A126C61-096F-40D0-9825-3B4A28C37874}">
          <x14:formula1>
            <xm:f>'DATA - IKKE RØR'!$L$3:$L$8</xm:f>
          </x14:formula1>
          <xm:sqref>E3:E14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BC4E-FB28-4D17-A36A-DD9945298B69}">
  <sheetPr>
    <tabColor rgb="FF92D050"/>
  </sheetPr>
  <dimension ref="A1:K269"/>
  <sheetViews>
    <sheetView workbookViewId="0">
      <pane ySplit="2" topLeftCell="A127" activePane="bottomLeft" state="frozen"/>
      <selection pane="bottomLeft" activeCell="A180" sqref="A180"/>
    </sheetView>
  </sheetViews>
  <sheetFormatPr defaultRowHeight="15"/>
  <cols>
    <col min="1" max="1" width="8" customWidth="1"/>
    <col min="2" max="2" width="12.42578125" style="18" customWidth="1"/>
    <col min="3" max="3" width="12.42578125" style="22" customWidth="1"/>
    <col min="4" max="4" width="11.7109375" style="22" bestFit="1" customWidth="1"/>
    <col min="5" max="5" width="15.28515625" bestFit="1" customWidth="1"/>
    <col min="6" max="6" width="12.5703125" customWidth="1"/>
    <col min="7" max="7" width="15" style="18" bestFit="1" customWidth="1"/>
    <col min="8" max="8" width="15" bestFit="1" customWidth="1"/>
    <col min="9" max="9" width="14.7109375" style="18" customWidth="1"/>
    <col min="10" max="10" width="34.85546875" style="71" customWidth="1"/>
    <col min="11" max="11" width="33.5703125" customWidth="1"/>
    <col min="12" max="12" width="12.42578125" bestFit="1" customWidth="1"/>
    <col min="13" max="13" width="9.28515625" customWidth="1"/>
    <col min="14" max="14" width="9.42578125" customWidth="1"/>
  </cols>
  <sheetData>
    <row r="1" spans="1:11" ht="20.100000000000001" customHeight="1">
      <c r="A1" s="219" t="s">
        <v>102</v>
      </c>
      <c r="B1" s="221" t="s">
        <v>103</v>
      </c>
      <c r="C1" s="221" t="s">
        <v>104</v>
      </c>
      <c r="D1" s="221" t="s">
        <v>10</v>
      </c>
      <c r="E1" s="221" t="s">
        <v>9</v>
      </c>
      <c r="F1" s="212" t="s">
        <v>105</v>
      </c>
      <c r="G1" s="231" t="s">
        <v>106</v>
      </c>
      <c r="H1" s="232"/>
      <c r="I1" s="212" t="s">
        <v>107</v>
      </c>
      <c r="J1" s="233" t="s">
        <v>108</v>
      </c>
      <c r="K1" s="217"/>
    </row>
    <row r="2" spans="1:11" ht="20.100000000000001" customHeight="1">
      <c r="A2" s="220"/>
      <c r="B2" s="222"/>
      <c r="C2" s="222"/>
      <c r="D2" s="222"/>
      <c r="E2" s="222"/>
      <c r="F2" s="213"/>
      <c r="G2" s="23" t="s">
        <v>109</v>
      </c>
      <c r="H2" s="14" t="s">
        <v>110</v>
      </c>
      <c r="I2" s="213"/>
      <c r="J2" s="70" t="s">
        <v>111</v>
      </c>
      <c r="K2" s="15" t="s">
        <v>112</v>
      </c>
    </row>
    <row r="3" spans="1:11">
      <c r="A3" s="62">
        <v>13</v>
      </c>
      <c r="B3" s="235" t="s">
        <v>29</v>
      </c>
      <c r="C3" s="238" t="s">
        <v>11</v>
      </c>
      <c r="D3" s="196" t="s">
        <v>24</v>
      </c>
      <c r="E3" s="241" t="s">
        <v>18</v>
      </c>
      <c r="F3" s="189" t="s">
        <v>40</v>
      </c>
      <c r="G3" s="196" t="s">
        <v>118</v>
      </c>
      <c r="H3" s="28" t="s">
        <v>119</v>
      </c>
      <c r="I3" s="196">
        <v>2000</v>
      </c>
      <c r="J3" s="72">
        <v>62.280628999999998</v>
      </c>
      <c r="K3" s="188">
        <v>21.722373000000001</v>
      </c>
    </row>
    <row r="4" spans="1:11">
      <c r="A4" s="62">
        <v>14</v>
      </c>
      <c r="B4" s="235"/>
      <c r="C4" s="238"/>
      <c r="D4" s="196"/>
      <c r="E4" s="241"/>
      <c r="F4" s="189" t="s">
        <v>40</v>
      </c>
      <c r="G4" s="196"/>
      <c r="H4" s="28" t="s">
        <v>120</v>
      </c>
      <c r="I4" s="196"/>
      <c r="J4" s="72">
        <v>62.525542999999999</v>
      </c>
      <c r="K4" s="188">
        <v>21.735085000000002</v>
      </c>
    </row>
    <row r="5" spans="1:11">
      <c r="A5" s="62">
        <v>15</v>
      </c>
      <c r="B5" s="235"/>
      <c r="C5" s="238"/>
      <c r="D5" s="196"/>
      <c r="E5" s="241"/>
      <c r="F5" s="189" t="s">
        <v>40</v>
      </c>
      <c r="G5" s="196"/>
      <c r="H5" s="28" t="s">
        <v>121</v>
      </c>
      <c r="I5" s="196"/>
      <c r="J5" s="72">
        <v>63.492964000000001</v>
      </c>
      <c r="K5" s="188">
        <v>21.785081000000002</v>
      </c>
    </row>
    <row r="6" spans="1:11">
      <c r="A6" s="63">
        <v>16</v>
      </c>
      <c r="B6" s="235"/>
      <c r="C6" s="238"/>
      <c r="D6" s="196"/>
      <c r="E6" s="241"/>
      <c r="F6" s="192" t="s">
        <v>42</v>
      </c>
      <c r="G6" s="196"/>
      <c r="H6" s="26" t="s">
        <v>119</v>
      </c>
      <c r="I6" s="196"/>
      <c r="J6" s="73">
        <v>59.381087999999998</v>
      </c>
      <c r="K6" s="25">
        <v>27.508768</v>
      </c>
    </row>
    <row r="7" spans="1:11">
      <c r="A7" s="63">
        <v>17</v>
      </c>
      <c r="B7" s="235"/>
      <c r="C7" s="238"/>
      <c r="D7" s="196"/>
      <c r="E7" s="241"/>
      <c r="F7" s="192" t="s">
        <v>42</v>
      </c>
      <c r="G7" s="196"/>
      <c r="H7" s="26" t="s">
        <v>120</v>
      </c>
      <c r="I7" s="196"/>
      <c r="J7" s="73">
        <v>64.794678000000005</v>
      </c>
      <c r="K7" s="25">
        <v>27.678511</v>
      </c>
    </row>
    <row r="8" spans="1:11">
      <c r="A8" s="63">
        <v>18</v>
      </c>
      <c r="B8" s="235"/>
      <c r="C8" s="238"/>
      <c r="D8" s="196"/>
      <c r="E8" s="241"/>
      <c r="F8" s="192" t="s">
        <v>42</v>
      </c>
      <c r="G8" s="196"/>
      <c r="H8" s="26" t="s">
        <v>121</v>
      </c>
      <c r="I8" s="196"/>
      <c r="J8" s="73">
        <v>82.847020000000001</v>
      </c>
      <c r="K8" s="25">
        <v>28.209493999999999</v>
      </c>
    </row>
    <row r="9" spans="1:11">
      <c r="A9" s="46">
        <v>19</v>
      </c>
      <c r="B9" s="235"/>
      <c r="C9" s="238"/>
      <c r="D9" s="196"/>
      <c r="E9" s="241"/>
      <c r="F9" s="193" t="s">
        <v>47</v>
      </c>
      <c r="G9" s="196"/>
      <c r="H9" s="29" t="s">
        <v>119</v>
      </c>
      <c r="I9" s="196"/>
      <c r="J9" s="74">
        <v>91.145002000000005</v>
      </c>
      <c r="K9" s="24">
        <v>36.491770000000002</v>
      </c>
    </row>
    <row r="10" spans="1:11">
      <c r="A10" s="46">
        <v>20</v>
      </c>
      <c r="B10" s="235"/>
      <c r="C10" s="238"/>
      <c r="D10" s="196"/>
      <c r="E10" s="241"/>
      <c r="F10" s="193" t="s">
        <v>47</v>
      </c>
      <c r="G10" s="196"/>
      <c r="H10" s="29" t="s">
        <v>120</v>
      </c>
      <c r="I10" s="196"/>
      <c r="J10" s="74">
        <v>103.371363</v>
      </c>
      <c r="K10" s="24">
        <v>36.554296000000001</v>
      </c>
    </row>
    <row r="11" spans="1:11">
      <c r="A11" s="47">
        <v>21</v>
      </c>
      <c r="B11" s="236"/>
      <c r="C11" s="239"/>
      <c r="D11" s="197"/>
      <c r="E11" s="242"/>
      <c r="F11" s="194" t="s">
        <v>47</v>
      </c>
      <c r="G11" s="197"/>
      <c r="H11" s="30" t="s">
        <v>121</v>
      </c>
      <c r="I11" s="197"/>
      <c r="J11" s="75">
        <v>142.09691900000001</v>
      </c>
      <c r="K11" s="31">
        <v>36.751669999999997</v>
      </c>
    </row>
    <row r="12" spans="1:11" ht="15" customHeight="1">
      <c r="A12" s="62">
        <v>22</v>
      </c>
      <c r="B12" s="235" t="s">
        <v>29</v>
      </c>
      <c r="C12" s="238" t="s">
        <v>11</v>
      </c>
      <c r="D12" s="203" t="s">
        <v>24</v>
      </c>
      <c r="E12" s="241" t="s">
        <v>18</v>
      </c>
      <c r="F12" s="189" t="s">
        <v>40</v>
      </c>
      <c r="G12" s="196" t="s">
        <v>122</v>
      </c>
      <c r="H12" s="28" t="s">
        <v>123</v>
      </c>
      <c r="I12" s="196">
        <v>3000</v>
      </c>
      <c r="J12" s="72">
        <v>84.827496999999994</v>
      </c>
      <c r="K12" s="188">
        <v>23.875684</v>
      </c>
    </row>
    <row r="13" spans="1:11">
      <c r="A13" s="62">
        <v>23</v>
      </c>
      <c r="B13" s="235"/>
      <c r="C13" s="238"/>
      <c r="D13" s="235"/>
      <c r="E13" s="241"/>
      <c r="F13" s="189" t="s">
        <v>40</v>
      </c>
      <c r="G13" s="196"/>
      <c r="H13" s="28" t="s">
        <v>124</v>
      </c>
      <c r="I13" s="196"/>
      <c r="J13" s="72">
        <v>85.013829000000001</v>
      </c>
      <c r="K13" s="188">
        <v>23.889361999999998</v>
      </c>
    </row>
    <row r="14" spans="1:11">
      <c r="A14" s="62">
        <v>24</v>
      </c>
      <c r="B14" s="235"/>
      <c r="C14" s="238"/>
      <c r="D14" s="235"/>
      <c r="E14" s="241"/>
      <c r="F14" s="189" t="s">
        <v>40</v>
      </c>
      <c r="G14" s="196"/>
      <c r="H14" s="28" t="s">
        <v>125</v>
      </c>
      <c r="I14" s="196"/>
      <c r="J14" s="72">
        <v>85.754195999999993</v>
      </c>
      <c r="K14" s="188">
        <v>23.943683</v>
      </c>
    </row>
    <row r="15" spans="1:11">
      <c r="A15" s="63">
        <v>25</v>
      </c>
      <c r="B15" s="235"/>
      <c r="C15" s="238"/>
      <c r="D15" s="235"/>
      <c r="E15" s="241"/>
      <c r="F15" s="192" t="s">
        <v>42</v>
      </c>
      <c r="G15" s="196"/>
      <c r="H15" s="26" t="s">
        <v>123</v>
      </c>
      <c r="I15" s="196"/>
      <c r="J15" s="73">
        <v>318.829249</v>
      </c>
      <c r="K15" s="25">
        <v>45.484355000000001</v>
      </c>
    </row>
    <row r="16" spans="1:11">
      <c r="A16" s="63">
        <v>26</v>
      </c>
      <c r="B16" s="235"/>
      <c r="C16" s="238"/>
      <c r="D16" s="235"/>
      <c r="E16" s="241"/>
      <c r="F16" s="192" t="s">
        <v>42</v>
      </c>
      <c r="G16" s="196"/>
      <c r="H16" s="26" t="s">
        <v>124</v>
      </c>
      <c r="I16" s="196"/>
      <c r="J16" s="73">
        <v>319.866061</v>
      </c>
      <c r="K16" s="25">
        <v>45.550567000000001</v>
      </c>
    </row>
    <row r="17" spans="1:11">
      <c r="A17" s="63">
        <v>27</v>
      </c>
      <c r="B17" s="235"/>
      <c r="C17" s="238"/>
      <c r="D17" s="235"/>
      <c r="E17" s="241"/>
      <c r="F17" s="192" t="s">
        <v>42</v>
      </c>
      <c r="G17" s="196"/>
      <c r="H17" s="26" t="s">
        <v>125</v>
      </c>
      <c r="I17" s="196"/>
      <c r="J17" s="73">
        <v>323.97950300000002</v>
      </c>
      <c r="K17" s="25">
        <v>45.813004999999997</v>
      </c>
    </row>
    <row r="18" spans="1:11">
      <c r="A18" s="46">
        <v>28</v>
      </c>
      <c r="B18" s="235"/>
      <c r="C18" s="238"/>
      <c r="D18" s="235"/>
      <c r="E18" s="241"/>
      <c r="F18" s="193" t="s">
        <v>47</v>
      </c>
      <c r="G18" s="196"/>
      <c r="H18" s="29" t="s">
        <v>123</v>
      </c>
      <c r="I18" s="196"/>
      <c r="J18" s="74">
        <v>597.76407300000005</v>
      </c>
      <c r="K18" s="24">
        <v>51.788043999999999</v>
      </c>
    </row>
    <row r="19" spans="1:11">
      <c r="A19" s="46">
        <v>29</v>
      </c>
      <c r="B19" s="235"/>
      <c r="C19" s="238"/>
      <c r="D19" s="235"/>
      <c r="E19" s="241"/>
      <c r="F19" s="193" t="s">
        <v>47</v>
      </c>
      <c r="G19" s="196"/>
      <c r="H19" s="29" t="s">
        <v>124</v>
      </c>
      <c r="I19" s="196"/>
      <c r="J19" s="74">
        <v>599.752748</v>
      </c>
      <c r="K19" s="24">
        <v>51.847251</v>
      </c>
    </row>
    <row r="20" spans="1:11">
      <c r="A20" s="47">
        <v>30</v>
      </c>
      <c r="B20" s="236"/>
      <c r="C20" s="239"/>
      <c r="D20" s="236"/>
      <c r="E20" s="242"/>
      <c r="F20" s="194" t="s">
        <v>47</v>
      </c>
      <c r="G20" s="197"/>
      <c r="H20" s="30" t="s">
        <v>125</v>
      </c>
      <c r="I20" s="197"/>
      <c r="J20" s="75">
        <v>607.642155</v>
      </c>
      <c r="K20" s="31">
        <v>52.082101000000002</v>
      </c>
    </row>
    <row r="21" spans="1:11" ht="15" customHeight="1">
      <c r="A21" s="62">
        <v>31</v>
      </c>
      <c r="B21" s="235" t="s">
        <v>29</v>
      </c>
      <c r="C21" s="238" t="s">
        <v>11</v>
      </c>
      <c r="D21" s="203" t="s">
        <v>24</v>
      </c>
      <c r="E21" s="241" t="s">
        <v>18</v>
      </c>
      <c r="F21" s="189" t="s">
        <v>40</v>
      </c>
      <c r="G21" s="196" t="s">
        <v>126</v>
      </c>
      <c r="H21" s="28" t="s">
        <v>127</v>
      </c>
      <c r="I21" s="196">
        <v>3000</v>
      </c>
      <c r="J21" s="72">
        <v>58.525761000000003</v>
      </c>
      <c r="K21" s="188">
        <v>21.500603000000002</v>
      </c>
    </row>
    <row r="22" spans="1:11">
      <c r="A22" s="62">
        <v>32</v>
      </c>
      <c r="B22" s="235"/>
      <c r="C22" s="238"/>
      <c r="D22" s="235"/>
      <c r="E22" s="241"/>
      <c r="F22" s="189" t="s">
        <v>40</v>
      </c>
      <c r="G22" s="196"/>
      <c r="H22" s="28" t="s">
        <v>128</v>
      </c>
      <c r="I22" s="196"/>
      <c r="J22" s="72">
        <v>58.789791000000001</v>
      </c>
      <c r="K22" s="188">
        <v>21.514358999999999</v>
      </c>
    </row>
    <row r="23" spans="1:11">
      <c r="A23" s="62">
        <v>33</v>
      </c>
      <c r="B23" s="235"/>
      <c r="C23" s="238"/>
      <c r="D23" s="235"/>
      <c r="E23" s="241"/>
      <c r="F23" s="189" t="s">
        <v>40</v>
      </c>
      <c r="G23" s="196"/>
      <c r="H23" s="28" t="s">
        <v>129</v>
      </c>
      <c r="I23" s="196"/>
      <c r="J23" s="72">
        <v>59.829965999999999</v>
      </c>
      <c r="K23" s="188">
        <v>21.568152999999999</v>
      </c>
    </row>
    <row r="24" spans="1:11">
      <c r="A24" s="63">
        <v>34</v>
      </c>
      <c r="B24" s="235"/>
      <c r="C24" s="238"/>
      <c r="D24" s="235"/>
      <c r="E24" s="241"/>
      <c r="F24" s="192" t="s">
        <v>42</v>
      </c>
      <c r="G24" s="196"/>
      <c r="H24" s="26" t="s">
        <v>127</v>
      </c>
      <c r="I24" s="196"/>
      <c r="J24" s="73">
        <v>184.13257100000001</v>
      </c>
      <c r="K24" s="25">
        <v>32.408741999999997</v>
      </c>
    </row>
    <row r="25" spans="1:11">
      <c r="A25" s="63">
        <v>35</v>
      </c>
      <c r="B25" s="235"/>
      <c r="C25" s="238"/>
      <c r="D25" s="235"/>
      <c r="E25" s="241"/>
      <c r="F25" s="192" t="s">
        <v>42</v>
      </c>
      <c r="G25" s="196"/>
      <c r="H25" s="26" t="s">
        <v>128</v>
      </c>
      <c r="I25" s="196"/>
      <c r="J25" s="73">
        <v>52.190182999999998</v>
      </c>
      <c r="K25" s="25">
        <v>27.329618</v>
      </c>
    </row>
    <row r="26" spans="1:11">
      <c r="A26" s="63">
        <v>36</v>
      </c>
      <c r="B26" s="235"/>
      <c r="C26" s="238"/>
      <c r="D26" s="235"/>
      <c r="E26" s="241"/>
      <c r="F26" s="192" t="s">
        <v>42</v>
      </c>
      <c r="G26" s="196"/>
      <c r="H26" s="26" t="s">
        <v>129</v>
      </c>
      <c r="I26" s="196"/>
      <c r="J26" s="73">
        <v>73.831199999999995</v>
      </c>
      <c r="K26" s="25">
        <v>28.229607000000001</v>
      </c>
    </row>
    <row r="27" spans="1:11">
      <c r="A27" s="46">
        <v>37</v>
      </c>
      <c r="B27" s="235"/>
      <c r="C27" s="238"/>
      <c r="D27" s="235"/>
      <c r="E27" s="241"/>
      <c r="F27" s="193" t="s">
        <v>47</v>
      </c>
      <c r="G27" s="196"/>
      <c r="H27" s="29" t="s">
        <v>127</v>
      </c>
      <c r="I27" s="196"/>
      <c r="J27" s="74">
        <v>342.76611600000001</v>
      </c>
      <c r="K27" s="24">
        <v>40.881838999999999</v>
      </c>
    </row>
    <row r="28" spans="1:11">
      <c r="A28" s="46">
        <v>38</v>
      </c>
      <c r="B28" s="235"/>
      <c r="C28" s="238"/>
      <c r="D28" s="235"/>
      <c r="E28" s="241"/>
      <c r="F28" s="193" t="s">
        <v>47</v>
      </c>
      <c r="G28" s="196"/>
      <c r="H28" s="29" t="s">
        <v>128</v>
      </c>
      <c r="I28" s="196"/>
      <c r="J28" s="74">
        <v>73.999869000000004</v>
      </c>
      <c r="K28" s="24">
        <v>36.575938999999998</v>
      </c>
    </row>
    <row r="29" spans="1:11">
      <c r="A29" s="47">
        <v>39</v>
      </c>
      <c r="B29" s="236"/>
      <c r="C29" s="239"/>
      <c r="D29" s="236"/>
      <c r="E29" s="242"/>
      <c r="F29" s="194" t="s">
        <v>47</v>
      </c>
      <c r="G29" s="197"/>
      <c r="H29" s="30" t="s">
        <v>129</v>
      </c>
      <c r="I29" s="197"/>
      <c r="J29" s="75">
        <v>122.716517</v>
      </c>
      <c r="K29" s="31">
        <v>37.319747999999997</v>
      </c>
    </row>
    <row r="30" spans="1:11" ht="15" customHeight="1">
      <c r="A30" s="62">
        <v>40</v>
      </c>
      <c r="B30" s="235" t="s">
        <v>29</v>
      </c>
      <c r="C30" s="238" t="s">
        <v>11</v>
      </c>
      <c r="D30" s="203" t="s">
        <v>24</v>
      </c>
      <c r="E30" s="241" t="s">
        <v>18</v>
      </c>
      <c r="F30" s="189" t="s">
        <v>40</v>
      </c>
      <c r="G30" s="196" t="s">
        <v>130</v>
      </c>
      <c r="H30" s="28" t="s">
        <v>131</v>
      </c>
      <c r="I30" s="196">
        <v>3000</v>
      </c>
      <c r="J30" s="72">
        <v>61.977488999999998</v>
      </c>
      <c r="K30" s="188">
        <v>22.092839999999999</v>
      </c>
    </row>
    <row r="31" spans="1:11">
      <c r="A31" s="62">
        <v>41</v>
      </c>
      <c r="B31" s="235"/>
      <c r="C31" s="238"/>
      <c r="D31" s="235"/>
      <c r="E31" s="241"/>
      <c r="F31" s="189" t="s">
        <v>40</v>
      </c>
      <c r="G31" s="196"/>
      <c r="H31" s="28" t="s">
        <v>132</v>
      </c>
      <c r="I31" s="196"/>
      <c r="J31" s="72">
        <v>62.253608999999997</v>
      </c>
      <c r="K31" s="188">
        <v>22.113371000000001</v>
      </c>
    </row>
    <row r="32" spans="1:11">
      <c r="A32" s="62">
        <v>42</v>
      </c>
      <c r="B32" s="235"/>
      <c r="C32" s="238"/>
      <c r="D32" s="235"/>
      <c r="E32" s="241"/>
      <c r="F32" s="189" t="s">
        <v>40</v>
      </c>
      <c r="G32" s="196"/>
      <c r="H32" s="28" t="s">
        <v>133</v>
      </c>
      <c r="I32" s="196"/>
      <c r="J32" s="72">
        <v>63.340600000000002</v>
      </c>
      <c r="K32" s="188">
        <v>22.193819999999999</v>
      </c>
    </row>
    <row r="33" spans="1:11">
      <c r="A33" s="63">
        <v>43</v>
      </c>
      <c r="B33" s="235"/>
      <c r="C33" s="238"/>
      <c r="D33" s="235"/>
      <c r="E33" s="241"/>
      <c r="F33" s="192" t="s">
        <v>42</v>
      </c>
      <c r="G33" s="196"/>
      <c r="H33" s="26" t="s">
        <v>131</v>
      </c>
      <c r="I33" s="196"/>
      <c r="J33" s="73">
        <v>177.551908</v>
      </c>
      <c r="K33" s="25">
        <v>34.039810000000003</v>
      </c>
    </row>
    <row r="34" spans="1:11">
      <c r="A34" s="63">
        <v>44</v>
      </c>
      <c r="B34" s="235"/>
      <c r="C34" s="238"/>
      <c r="D34" s="235"/>
      <c r="E34" s="241"/>
      <c r="F34" s="192" t="s">
        <v>42</v>
      </c>
      <c r="G34" s="196"/>
      <c r="H34" s="26" t="s">
        <v>132</v>
      </c>
      <c r="I34" s="196"/>
      <c r="J34" s="73">
        <v>179.411653</v>
      </c>
      <c r="K34" s="25">
        <v>34.136237000000001</v>
      </c>
    </row>
    <row r="35" spans="1:11">
      <c r="A35" s="63">
        <v>45</v>
      </c>
      <c r="B35" s="235"/>
      <c r="C35" s="238"/>
      <c r="D35" s="235"/>
      <c r="E35" s="241"/>
      <c r="F35" s="192" t="s">
        <v>42</v>
      </c>
      <c r="G35" s="196"/>
      <c r="H35" s="26" t="s">
        <v>133</v>
      </c>
      <c r="I35" s="196"/>
      <c r="J35" s="73">
        <v>186.66153700000001</v>
      </c>
      <c r="K35" s="25">
        <v>34.512331000000003</v>
      </c>
    </row>
    <row r="36" spans="1:11">
      <c r="A36" s="46">
        <v>46</v>
      </c>
      <c r="B36" s="235"/>
      <c r="C36" s="238"/>
      <c r="D36" s="235"/>
      <c r="E36" s="241"/>
      <c r="F36" s="193" t="s">
        <v>47</v>
      </c>
      <c r="G36" s="196"/>
      <c r="H36" s="29" t="s">
        <v>131</v>
      </c>
      <c r="I36" s="196"/>
      <c r="J36" s="74">
        <v>328.29156399999999</v>
      </c>
      <c r="K36" s="24">
        <v>42.631487999999997</v>
      </c>
    </row>
    <row r="37" spans="1:11">
      <c r="A37" s="46">
        <v>47</v>
      </c>
      <c r="B37" s="235"/>
      <c r="C37" s="238"/>
      <c r="D37" s="235"/>
      <c r="E37" s="241"/>
      <c r="F37" s="193" t="s">
        <v>47</v>
      </c>
      <c r="G37" s="196"/>
      <c r="H37" s="29" t="s">
        <v>132</v>
      </c>
      <c r="I37" s="196"/>
      <c r="J37" s="74">
        <v>331.903099</v>
      </c>
      <c r="K37" s="24">
        <v>42.720989000000003</v>
      </c>
    </row>
    <row r="38" spans="1:11">
      <c r="A38" s="47">
        <v>48</v>
      </c>
      <c r="B38" s="236"/>
      <c r="C38" s="239"/>
      <c r="D38" s="236"/>
      <c r="E38" s="242"/>
      <c r="F38" s="194" t="s">
        <v>47</v>
      </c>
      <c r="G38" s="197"/>
      <c r="H38" s="30" t="s">
        <v>133</v>
      </c>
      <c r="I38" s="197"/>
      <c r="J38" s="75">
        <v>345.97092099999998</v>
      </c>
      <c r="K38" s="31">
        <v>43.070689999999999</v>
      </c>
    </row>
    <row r="39" spans="1:11" ht="15" customHeight="1">
      <c r="A39" s="62">
        <v>49</v>
      </c>
      <c r="B39" s="235" t="s">
        <v>29</v>
      </c>
      <c r="C39" s="238" t="s">
        <v>11</v>
      </c>
      <c r="D39" s="203" t="s">
        <v>24</v>
      </c>
      <c r="E39" s="241" t="s">
        <v>18</v>
      </c>
      <c r="F39" s="189" t="s">
        <v>40</v>
      </c>
      <c r="G39" s="196" t="s">
        <v>134</v>
      </c>
      <c r="H39" s="28" t="s">
        <v>135</v>
      </c>
      <c r="I39" s="196">
        <v>3000</v>
      </c>
      <c r="J39" s="72">
        <v>57.212381000000001</v>
      </c>
      <c r="K39" s="188">
        <v>20.834326000000001</v>
      </c>
    </row>
    <row r="40" spans="1:11">
      <c r="A40" s="62">
        <v>50</v>
      </c>
      <c r="B40" s="235"/>
      <c r="C40" s="238"/>
      <c r="D40" s="235"/>
      <c r="E40" s="241"/>
      <c r="F40" s="189" t="s">
        <v>40</v>
      </c>
      <c r="G40" s="196"/>
      <c r="H40" s="28" t="s">
        <v>136</v>
      </c>
      <c r="I40" s="196"/>
      <c r="J40" s="72">
        <v>57.435789</v>
      </c>
      <c r="K40" s="188">
        <v>20.836271</v>
      </c>
    </row>
    <row r="41" spans="1:11">
      <c r="A41" s="62">
        <v>51</v>
      </c>
      <c r="B41" s="235"/>
      <c r="C41" s="238"/>
      <c r="D41" s="235"/>
      <c r="E41" s="241"/>
      <c r="F41" s="189" t="s">
        <v>40</v>
      </c>
      <c r="G41" s="196"/>
      <c r="H41" s="28" t="s">
        <v>137</v>
      </c>
      <c r="I41" s="196"/>
      <c r="J41" s="72">
        <v>58.320352</v>
      </c>
      <c r="K41" s="188">
        <v>20.843907999999999</v>
      </c>
    </row>
    <row r="42" spans="1:11">
      <c r="A42" s="63">
        <v>52</v>
      </c>
      <c r="B42" s="235"/>
      <c r="C42" s="238"/>
      <c r="D42" s="235"/>
      <c r="E42" s="241"/>
      <c r="F42" s="192" t="s">
        <v>42</v>
      </c>
      <c r="G42" s="196"/>
      <c r="H42" s="26" t="s">
        <v>135</v>
      </c>
      <c r="I42" s="196"/>
      <c r="J42" s="73">
        <v>175.33507</v>
      </c>
      <c r="K42" s="25">
        <v>30.093394</v>
      </c>
    </row>
    <row r="43" spans="1:11">
      <c r="A43" s="63">
        <v>53</v>
      </c>
      <c r="B43" s="235"/>
      <c r="C43" s="238"/>
      <c r="D43" s="235"/>
      <c r="E43" s="241"/>
      <c r="F43" s="192" t="s">
        <v>42</v>
      </c>
      <c r="G43" s="196"/>
      <c r="H43" s="26" t="s">
        <v>136</v>
      </c>
      <c r="I43" s="196"/>
      <c r="J43" s="73">
        <v>177.18431000000001</v>
      </c>
      <c r="K43" s="25">
        <v>30.138248999999998</v>
      </c>
    </row>
    <row r="44" spans="1:11">
      <c r="A44" s="63">
        <v>54</v>
      </c>
      <c r="B44" s="235"/>
      <c r="C44" s="238"/>
      <c r="D44" s="235"/>
      <c r="E44" s="241"/>
      <c r="F44" s="192" t="s">
        <v>42</v>
      </c>
      <c r="G44" s="196"/>
      <c r="H44" s="26" t="s">
        <v>137</v>
      </c>
      <c r="I44" s="196"/>
      <c r="J44" s="73">
        <v>184.39431200000001</v>
      </c>
      <c r="K44" s="25">
        <v>30.313772</v>
      </c>
    </row>
    <row r="45" spans="1:11">
      <c r="A45" s="46">
        <v>55</v>
      </c>
      <c r="B45" s="235"/>
      <c r="C45" s="238"/>
      <c r="D45" s="235"/>
      <c r="E45" s="241"/>
      <c r="F45" s="193" t="s">
        <v>47</v>
      </c>
      <c r="G45" s="196"/>
      <c r="H45" s="29" t="s">
        <v>135</v>
      </c>
      <c r="I45" s="196"/>
      <c r="J45" s="74">
        <v>327.77866599999999</v>
      </c>
      <c r="K45" s="24">
        <v>40.546801000000002</v>
      </c>
    </row>
    <row r="46" spans="1:11">
      <c r="A46" s="46">
        <v>56</v>
      </c>
      <c r="B46" s="235"/>
      <c r="C46" s="238"/>
      <c r="D46" s="235"/>
      <c r="E46" s="241"/>
      <c r="F46" s="193" t="s">
        <v>47</v>
      </c>
      <c r="G46" s="196"/>
      <c r="H46" s="29" t="s">
        <v>136</v>
      </c>
      <c r="I46" s="196"/>
      <c r="J46" s="74">
        <v>331.38802399999997</v>
      </c>
      <c r="K46" s="24">
        <v>40.608241</v>
      </c>
    </row>
    <row r="47" spans="1:11">
      <c r="A47" s="47">
        <v>57</v>
      </c>
      <c r="B47" s="236"/>
      <c r="C47" s="239"/>
      <c r="D47" s="236"/>
      <c r="E47" s="242"/>
      <c r="F47" s="194" t="s">
        <v>47</v>
      </c>
      <c r="G47" s="197"/>
      <c r="H47" s="30" t="s">
        <v>137</v>
      </c>
      <c r="I47" s="197"/>
      <c r="J47" s="75">
        <v>345.44755700000002</v>
      </c>
      <c r="K47" s="31">
        <v>40.848644</v>
      </c>
    </row>
    <row r="48" spans="1:11" ht="15" customHeight="1">
      <c r="A48" s="62">
        <v>58</v>
      </c>
      <c r="B48" s="235" t="s">
        <v>29</v>
      </c>
      <c r="C48" s="238" t="s">
        <v>11</v>
      </c>
      <c r="D48" s="203" t="s">
        <v>24</v>
      </c>
      <c r="E48" s="241" t="s">
        <v>18</v>
      </c>
      <c r="F48" s="189" t="s">
        <v>40</v>
      </c>
      <c r="G48" s="196" t="s">
        <v>138</v>
      </c>
      <c r="H48" s="28" t="s">
        <v>139</v>
      </c>
      <c r="I48" s="196">
        <v>3000</v>
      </c>
      <c r="J48" s="72">
        <v>61.472127999999998</v>
      </c>
      <c r="K48" s="188">
        <v>21.968036999999999</v>
      </c>
    </row>
    <row r="49" spans="1:11">
      <c r="A49" s="62">
        <v>59</v>
      </c>
      <c r="B49" s="235"/>
      <c r="C49" s="238"/>
      <c r="D49" s="235"/>
      <c r="E49" s="241"/>
      <c r="F49" s="189" t="s">
        <v>40</v>
      </c>
      <c r="G49" s="196"/>
      <c r="H49" s="28" t="s">
        <v>140</v>
      </c>
      <c r="I49" s="196"/>
      <c r="J49" s="72">
        <v>61.743715000000002</v>
      </c>
      <c r="K49" s="188">
        <v>21.986857000000001</v>
      </c>
    </row>
    <row r="50" spans="1:11">
      <c r="A50" s="62">
        <v>60</v>
      </c>
      <c r="B50" s="235"/>
      <c r="C50" s="238"/>
      <c r="D50" s="235"/>
      <c r="E50" s="241"/>
      <c r="F50" s="189" t="s">
        <v>40</v>
      </c>
      <c r="G50" s="196"/>
      <c r="H50" s="28" t="s">
        <v>141</v>
      </c>
      <c r="I50" s="196"/>
      <c r="J50" s="72">
        <v>62.813288</v>
      </c>
      <c r="K50" s="188">
        <v>22.060611999999999</v>
      </c>
    </row>
    <row r="51" spans="1:11">
      <c r="A51" s="63">
        <v>61</v>
      </c>
      <c r="B51" s="235"/>
      <c r="C51" s="238"/>
      <c r="D51" s="235"/>
      <c r="E51" s="241"/>
      <c r="F51" s="192" t="s">
        <v>42</v>
      </c>
      <c r="G51" s="196"/>
      <c r="H51" s="26" t="s">
        <v>139</v>
      </c>
      <c r="I51" s="196"/>
      <c r="J51" s="73">
        <v>175.84168</v>
      </c>
      <c r="K51" s="25">
        <v>31.676300999999999</v>
      </c>
    </row>
    <row r="52" spans="1:11">
      <c r="A52" s="63">
        <v>62</v>
      </c>
      <c r="B52" s="235"/>
      <c r="C52" s="238"/>
      <c r="D52" s="235"/>
      <c r="E52" s="241"/>
      <c r="F52" s="192" t="s">
        <v>42</v>
      </c>
      <c r="G52" s="196"/>
      <c r="H52" s="26" t="s">
        <v>140</v>
      </c>
      <c r="I52" s="196"/>
      <c r="J52" s="73">
        <v>177.699015</v>
      </c>
      <c r="K52" s="25">
        <v>31.742795000000001</v>
      </c>
    </row>
    <row r="53" spans="1:11">
      <c r="A53" s="63">
        <v>63</v>
      </c>
      <c r="B53" s="235"/>
      <c r="C53" s="238"/>
      <c r="D53" s="235"/>
      <c r="E53" s="241"/>
      <c r="F53" s="192" t="s">
        <v>42</v>
      </c>
      <c r="G53" s="196"/>
      <c r="H53" s="26" t="s">
        <v>141</v>
      </c>
      <c r="I53" s="196"/>
      <c r="J53" s="73">
        <v>184.93938700000001</v>
      </c>
      <c r="K53" s="25">
        <v>32.002583999999999</v>
      </c>
    </row>
    <row r="54" spans="1:11">
      <c r="A54" s="46">
        <v>64</v>
      </c>
      <c r="B54" s="235"/>
      <c r="C54" s="238"/>
      <c r="D54" s="235"/>
      <c r="E54" s="241"/>
      <c r="F54" s="193" t="s">
        <v>47</v>
      </c>
      <c r="G54" s="196"/>
      <c r="H54" s="29" t="s">
        <v>139</v>
      </c>
      <c r="I54" s="196"/>
      <c r="J54" s="74">
        <v>326.36143800000002</v>
      </c>
      <c r="K54" s="24">
        <v>37.487619000000002</v>
      </c>
    </row>
    <row r="55" spans="1:11">
      <c r="A55" s="46">
        <v>65</v>
      </c>
      <c r="B55" s="235"/>
      <c r="C55" s="238"/>
      <c r="D55" s="235"/>
      <c r="E55" s="241"/>
      <c r="F55" s="193" t="s">
        <v>47</v>
      </c>
      <c r="G55" s="196"/>
      <c r="H55" s="29" t="s">
        <v>140</v>
      </c>
      <c r="I55" s="196"/>
      <c r="J55" s="74">
        <v>329.97581000000002</v>
      </c>
      <c r="K55" s="24">
        <v>37.505487000000002</v>
      </c>
    </row>
    <row r="56" spans="1:11">
      <c r="A56" s="47">
        <v>66</v>
      </c>
      <c r="B56" s="236"/>
      <c r="C56" s="239"/>
      <c r="D56" s="236"/>
      <c r="E56" s="242"/>
      <c r="F56" s="194" t="s">
        <v>47</v>
      </c>
      <c r="G56" s="197"/>
      <c r="H56" s="30" t="s">
        <v>141</v>
      </c>
      <c r="I56" s="197"/>
      <c r="J56" s="75">
        <v>344.05354999999997</v>
      </c>
      <c r="K56" s="31">
        <v>37.575575000000001</v>
      </c>
    </row>
    <row r="57" spans="1:11" ht="15" customHeight="1">
      <c r="A57" s="62">
        <v>67</v>
      </c>
      <c r="B57" s="235" t="s">
        <v>29</v>
      </c>
      <c r="C57" s="238" t="s">
        <v>11</v>
      </c>
      <c r="D57" s="203" t="s">
        <v>24</v>
      </c>
      <c r="E57" s="241" t="s">
        <v>18</v>
      </c>
      <c r="F57" s="189" t="s">
        <v>40</v>
      </c>
      <c r="G57" s="196" t="s">
        <v>142</v>
      </c>
      <c r="H57" s="28" t="s">
        <v>143</v>
      </c>
      <c r="I57" s="196">
        <v>3000</v>
      </c>
      <c r="J57" s="72">
        <v>75.873124000000004</v>
      </c>
      <c r="K57" s="188">
        <v>21.073658999999999</v>
      </c>
    </row>
    <row r="58" spans="1:11">
      <c r="A58" s="62">
        <v>68</v>
      </c>
      <c r="B58" s="235"/>
      <c r="C58" s="238"/>
      <c r="D58" s="235"/>
      <c r="E58" s="241"/>
      <c r="F58" s="189" t="s">
        <v>40</v>
      </c>
      <c r="G58" s="196"/>
      <c r="H58" s="28" t="s">
        <v>144</v>
      </c>
      <c r="I58" s="196"/>
      <c r="J58" s="72">
        <v>76.041263000000001</v>
      </c>
      <c r="K58" s="188">
        <v>21.075396000000001</v>
      </c>
    </row>
    <row r="59" spans="1:11">
      <c r="A59" s="62">
        <v>69</v>
      </c>
      <c r="B59" s="235"/>
      <c r="C59" s="238"/>
      <c r="D59" s="235"/>
      <c r="E59" s="241"/>
      <c r="F59" s="189" t="s">
        <v>40</v>
      </c>
      <c r="G59" s="196"/>
      <c r="H59" s="28" t="s">
        <v>145</v>
      </c>
      <c r="I59" s="196"/>
      <c r="J59" s="72">
        <v>76.710021999999995</v>
      </c>
      <c r="K59" s="188">
        <v>21.082301000000001</v>
      </c>
    </row>
    <row r="60" spans="1:11">
      <c r="A60" s="63">
        <v>70</v>
      </c>
      <c r="B60" s="235"/>
      <c r="C60" s="238"/>
      <c r="D60" s="235"/>
      <c r="E60" s="241"/>
      <c r="F60" s="192" t="s">
        <v>42</v>
      </c>
      <c r="G60" s="196"/>
      <c r="H60" s="26" t="s">
        <v>143</v>
      </c>
      <c r="I60" s="196"/>
      <c r="J60" s="73">
        <v>304.732303</v>
      </c>
      <c r="K60" s="25">
        <v>31.790143</v>
      </c>
    </row>
    <row r="61" spans="1:11">
      <c r="A61" s="63">
        <v>71</v>
      </c>
      <c r="B61" s="235"/>
      <c r="C61" s="238"/>
      <c r="D61" s="235"/>
      <c r="E61" s="241"/>
      <c r="F61" s="192" t="s">
        <v>42</v>
      </c>
      <c r="G61" s="196"/>
      <c r="H61" s="26" t="s">
        <v>144</v>
      </c>
      <c r="I61" s="196"/>
      <c r="J61" s="73">
        <v>305.79340100000002</v>
      </c>
      <c r="K61" s="25">
        <v>31.81129</v>
      </c>
    </row>
    <row r="62" spans="1:11">
      <c r="A62" s="63">
        <v>72</v>
      </c>
      <c r="B62" s="235"/>
      <c r="C62" s="238"/>
      <c r="D62" s="235"/>
      <c r="E62" s="241"/>
      <c r="F62" s="192" t="s">
        <v>42</v>
      </c>
      <c r="G62" s="196"/>
      <c r="H62" s="26" t="s">
        <v>145</v>
      </c>
      <c r="I62" s="196"/>
      <c r="J62" s="73">
        <v>310.00132200000002</v>
      </c>
      <c r="K62" s="25">
        <v>31.895244000000002</v>
      </c>
    </row>
    <row r="63" spans="1:11">
      <c r="A63" s="46">
        <v>73</v>
      </c>
      <c r="B63" s="235"/>
      <c r="C63" s="238"/>
      <c r="D63" s="235"/>
      <c r="E63" s="241"/>
      <c r="F63" s="193" t="s">
        <v>47</v>
      </c>
      <c r="G63" s="196"/>
      <c r="H63" s="29" t="s">
        <v>143</v>
      </c>
      <c r="I63" s="196"/>
      <c r="J63" s="74">
        <v>578.96915000000001</v>
      </c>
      <c r="K63" s="24">
        <v>42.274073999999999</v>
      </c>
    </row>
    <row r="64" spans="1:11">
      <c r="A64" s="46">
        <v>74</v>
      </c>
      <c r="B64" s="235"/>
      <c r="C64" s="238"/>
      <c r="D64" s="235"/>
      <c r="E64" s="241"/>
      <c r="F64" s="193" t="s">
        <v>47</v>
      </c>
      <c r="G64" s="196"/>
      <c r="H64" s="29" t="s">
        <v>144</v>
      </c>
      <c r="I64" s="196"/>
      <c r="J64" s="74">
        <v>581.01572199999998</v>
      </c>
      <c r="K64" s="24">
        <v>42.300559</v>
      </c>
    </row>
    <row r="65" spans="1:11">
      <c r="A65" s="47">
        <v>75</v>
      </c>
      <c r="B65" s="236"/>
      <c r="C65" s="239"/>
      <c r="D65" s="236"/>
      <c r="E65" s="242"/>
      <c r="F65" s="194" t="s">
        <v>47</v>
      </c>
      <c r="G65" s="197"/>
      <c r="H65" s="30" t="s">
        <v>145</v>
      </c>
      <c r="I65" s="197"/>
      <c r="J65" s="75">
        <v>589.13083700000004</v>
      </c>
      <c r="K65" s="31">
        <v>42.405712000000001</v>
      </c>
    </row>
    <row r="66" spans="1:11" ht="15" customHeight="1">
      <c r="A66" s="62">
        <v>76</v>
      </c>
      <c r="B66" s="235" t="s">
        <v>29</v>
      </c>
      <c r="C66" s="238" t="s">
        <v>11</v>
      </c>
      <c r="D66" s="203" t="s">
        <v>24</v>
      </c>
      <c r="E66" s="241" t="s">
        <v>18</v>
      </c>
      <c r="F66" s="189" t="s">
        <v>40</v>
      </c>
      <c r="G66" s="196" t="s">
        <v>146</v>
      </c>
      <c r="H66" s="28" t="s">
        <v>147</v>
      </c>
      <c r="I66" s="196">
        <v>2000</v>
      </c>
      <c r="J66" s="72">
        <v>67.834141000000002</v>
      </c>
      <c r="K66" s="188">
        <v>23.703714999999999</v>
      </c>
    </row>
    <row r="67" spans="1:11">
      <c r="A67" s="62">
        <v>77</v>
      </c>
      <c r="B67" s="235"/>
      <c r="C67" s="238"/>
      <c r="D67" s="235"/>
      <c r="E67" s="241"/>
      <c r="F67" s="189" t="s">
        <v>40</v>
      </c>
      <c r="G67" s="196"/>
      <c r="H67" s="28" t="s">
        <v>148</v>
      </c>
      <c r="I67" s="196"/>
      <c r="J67" s="72">
        <v>68.171878000000007</v>
      </c>
      <c r="K67" s="188">
        <v>23.746628999999999</v>
      </c>
    </row>
    <row r="68" spans="1:11">
      <c r="A68" s="62">
        <v>78</v>
      </c>
      <c r="B68" s="235"/>
      <c r="C68" s="238"/>
      <c r="D68" s="235"/>
      <c r="E68" s="241"/>
      <c r="F68" s="189" t="s">
        <v>40</v>
      </c>
      <c r="G68" s="196"/>
      <c r="H68" s="28" t="s">
        <v>149</v>
      </c>
      <c r="I68" s="196"/>
      <c r="J68" s="72">
        <v>69.495368999999997</v>
      </c>
      <c r="K68" s="188">
        <v>23.914421999999998</v>
      </c>
    </row>
    <row r="69" spans="1:11">
      <c r="A69" s="63">
        <v>79</v>
      </c>
      <c r="B69" s="235"/>
      <c r="C69" s="238"/>
      <c r="D69" s="235"/>
      <c r="E69" s="241"/>
      <c r="F69" s="192" t="s">
        <v>42</v>
      </c>
      <c r="G69" s="196"/>
      <c r="H69" s="26" t="s">
        <v>147</v>
      </c>
      <c r="I69" s="196"/>
      <c r="J69" s="73">
        <v>185.02286000000001</v>
      </c>
      <c r="K69" s="25">
        <v>45.370812000000001</v>
      </c>
    </row>
    <row r="70" spans="1:11">
      <c r="A70" s="63">
        <v>80</v>
      </c>
      <c r="B70" s="235"/>
      <c r="C70" s="238"/>
      <c r="D70" s="235"/>
      <c r="E70" s="241"/>
      <c r="F70" s="192" t="s">
        <v>42</v>
      </c>
      <c r="G70" s="196"/>
      <c r="H70" s="26" t="s">
        <v>148</v>
      </c>
      <c r="I70" s="196"/>
      <c r="J70" s="73">
        <v>186.91913500000001</v>
      </c>
      <c r="K70" s="25">
        <v>45.594419000000002</v>
      </c>
    </row>
    <row r="71" spans="1:11">
      <c r="A71" s="63">
        <v>81</v>
      </c>
      <c r="B71" s="235"/>
      <c r="C71" s="238"/>
      <c r="D71" s="235"/>
      <c r="E71" s="241"/>
      <c r="F71" s="192" t="s">
        <v>42</v>
      </c>
      <c r="G71" s="196"/>
      <c r="H71" s="26" t="s">
        <v>149</v>
      </c>
      <c r="I71" s="196"/>
      <c r="J71" s="73">
        <v>194.30777599999999</v>
      </c>
      <c r="K71" s="25">
        <v>46.462192999999999</v>
      </c>
    </row>
    <row r="72" spans="1:11">
      <c r="A72" s="46">
        <v>82</v>
      </c>
      <c r="B72" s="235"/>
      <c r="C72" s="238"/>
      <c r="D72" s="235"/>
      <c r="E72" s="241"/>
      <c r="F72" s="193" t="s">
        <v>47</v>
      </c>
      <c r="G72" s="196"/>
      <c r="H72" s="29" t="s">
        <v>147</v>
      </c>
      <c r="I72" s="196"/>
      <c r="J72" s="74">
        <v>331.91116499999998</v>
      </c>
      <c r="K72" s="24">
        <v>55.53143</v>
      </c>
    </row>
    <row r="73" spans="1:11">
      <c r="A73" s="46">
        <v>83</v>
      </c>
      <c r="B73" s="235"/>
      <c r="C73" s="238"/>
      <c r="D73" s="235"/>
      <c r="E73" s="241"/>
      <c r="F73" s="193" t="s">
        <v>47</v>
      </c>
      <c r="G73" s="196"/>
      <c r="H73" s="29" t="s">
        <v>148</v>
      </c>
      <c r="I73" s="196"/>
      <c r="J73" s="74">
        <v>335.53822200000002</v>
      </c>
      <c r="K73" s="24">
        <v>55.774121000000001</v>
      </c>
    </row>
    <row r="74" spans="1:11">
      <c r="A74" s="47">
        <v>84</v>
      </c>
      <c r="B74" s="236"/>
      <c r="C74" s="239"/>
      <c r="D74" s="236"/>
      <c r="E74" s="242"/>
      <c r="F74" s="194" t="s">
        <v>47</v>
      </c>
      <c r="G74" s="197"/>
      <c r="H74" s="30" t="s">
        <v>149</v>
      </c>
      <c r="I74" s="197"/>
      <c r="J74" s="75">
        <v>349.665121</v>
      </c>
      <c r="K74" s="31">
        <v>56.717205</v>
      </c>
    </row>
    <row r="75" spans="1:11" ht="15" customHeight="1">
      <c r="A75" s="62">
        <v>85</v>
      </c>
      <c r="B75" s="235" t="s">
        <v>29</v>
      </c>
      <c r="C75" s="238" t="s">
        <v>11</v>
      </c>
      <c r="D75" s="203" t="s">
        <v>24</v>
      </c>
      <c r="E75" s="241" t="s">
        <v>18</v>
      </c>
      <c r="F75" s="189" t="s">
        <v>40</v>
      </c>
      <c r="G75" s="196" t="s">
        <v>150</v>
      </c>
      <c r="H75" s="28" t="s">
        <v>151</v>
      </c>
      <c r="I75" s="196">
        <v>2000</v>
      </c>
      <c r="J75" s="72">
        <v>82.02722</v>
      </c>
      <c r="K75" s="188">
        <v>27.713401000000001</v>
      </c>
    </row>
    <row r="76" spans="1:11">
      <c r="A76" s="62">
        <v>86</v>
      </c>
      <c r="B76" s="235"/>
      <c r="C76" s="238"/>
      <c r="D76" s="235"/>
      <c r="E76" s="241"/>
      <c r="F76" s="189" t="s">
        <v>40</v>
      </c>
      <c r="G76" s="196"/>
      <c r="H76" s="28" t="s">
        <v>152</v>
      </c>
      <c r="I76" s="196"/>
      <c r="J76" s="72">
        <v>82.502245000000002</v>
      </c>
      <c r="K76" s="188">
        <v>27.806463000000001</v>
      </c>
    </row>
    <row r="77" spans="1:11">
      <c r="A77" s="62">
        <v>87</v>
      </c>
      <c r="B77" s="235"/>
      <c r="C77" s="238"/>
      <c r="D77" s="235"/>
      <c r="E77" s="241"/>
      <c r="F77" s="189" t="s">
        <v>40</v>
      </c>
      <c r="G77" s="196"/>
      <c r="H77" s="28" t="s">
        <v>153</v>
      </c>
      <c r="I77" s="196"/>
      <c r="J77" s="72">
        <v>84.352726000000004</v>
      </c>
      <c r="K77" s="188">
        <v>28.169006</v>
      </c>
    </row>
    <row r="78" spans="1:11">
      <c r="A78" s="63">
        <v>88</v>
      </c>
      <c r="B78" s="235"/>
      <c r="C78" s="238"/>
      <c r="D78" s="235"/>
      <c r="E78" s="241"/>
      <c r="F78" s="192" t="s">
        <v>42</v>
      </c>
      <c r="G78" s="196"/>
      <c r="H78" s="26" t="s">
        <v>151</v>
      </c>
      <c r="I78" s="196"/>
      <c r="J78" s="73">
        <v>197.295366</v>
      </c>
      <c r="K78" s="25">
        <v>59.785237000000002</v>
      </c>
    </row>
    <row r="79" spans="1:11">
      <c r="A79" s="63">
        <v>89</v>
      </c>
      <c r="B79" s="235"/>
      <c r="C79" s="238"/>
      <c r="D79" s="235"/>
      <c r="E79" s="241"/>
      <c r="F79" s="192" t="s">
        <v>42</v>
      </c>
      <c r="G79" s="196"/>
      <c r="H79" s="26" t="s">
        <v>152</v>
      </c>
      <c r="I79" s="196"/>
      <c r="J79" s="73">
        <v>199.24854199999999</v>
      </c>
      <c r="K79" s="25">
        <v>60.146543000000001</v>
      </c>
    </row>
    <row r="80" spans="1:11">
      <c r="A80" s="63">
        <v>90</v>
      </c>
      <c r="B80" s="235"/>
      <c r="C80" s="238"/>
      <c r="D80" s="235"/>
      <c r="E80" s="241"/>
      <c r="F80" s="192" t="s">
        <v>42</v>
      </c>
      <c r="G80" s="196"/>
      <c r="H80" s="26" t="s">
        <v>153</v>
      </c>
      <c r="I80" s="196"/>
      <c r="J80" s="73">
        <v>206.85406499999999</v>
      </c>
      <c r="K80" s="25">
        <v>61.545108999999997</v>
      </c>
    </row>
    <row r="81" spans="1:11">
      <c r="A81" s="46">
        <v>91</v>
      </c>
      <c r="B81" s="235"/>
      <c r="C81" s="238"/>
      <c r="D81" s="235"/>
      <c r="E81" s="241"/>
      <c r="F81" s="193" t="s">
        <v>47</v>
      </c>
      <c r="G81" s="196"/>
      <c r="H81" s="29" t="s">
        <v>151</v>
      </c>
      <c r="I81" s="196"/>
      <c r="J81" s="74">
        <v>336.67361</v>
      </c>
      <c r="K81" s="24">
        <v>67.241131999999993</v>
      </c>
    </row>
    <row r="82" spans="1:11">
      <c r="A82" s="46">
        <v>92</v>
      </c>
      <c r="B82" s="235"/>
      <c r="C82" s="238"/>
      <c r="D82" s="235"/>
      <c r="E82" s="241"/>
      <c r="F82" s="193" t="s">
        <v>47</v>
      </c>
      <c r="G82" s="196"/>
      <c r="H82" s="29" t="s">
        <v>152</v>
      </c>
      <c r="I82" s="196"/>
      <c r="J82" s="74">
        <v>340.31020799999999</v>
      </c>
      <c r="K82" s="24">
        <v>67.602913000000001</v>
      </c>
    </row>
    <row r="83" spans="1:11">
      <c r="A83" s="47">
        <v>93</v>
      </c>
      <c r="B83" s="236"/>
      <c r="C83" s="239"/>
      <c r="D83" s="236"/>
      <c r="E83" s="242"/>
      <c r="F83" s="194" t="s">
        <v>47</v>
      </c>
      <c r="G83" s="197"/>
      <c r="H83" s="30" t="s">
        <v>153</v>
      </c>
      <c r="I83" s="197"/>
      <c r="J83" s="75">
        <v>354.47432500000002</v>
      </c>
      <c r="K83" s="31">
        <v>69.005511999999996</v>
      </c>
    </row>
    <row r="84" spans="1:11" ht="15" customHeight="1">
      <c r="A84" s="62">
        <v>94</v>
      </c>
      <c r="B84" s="235" t="s">
        <v>29</v>
      </c>
      <c r="C84" s="238" t="s">
        <v>11</v>
      </c>
      <c r="D84" s="203" t="s">
        <v>24</v>
      </c>
      <c r="E84" s="241" t="s">
        <v>18</v>
      </c>
      <c r="F84" s="189" t="s">
        <v>40</v>
      </c>
      <c r="G84" s="196" t="s">
        <v>154</v>
      </c>
      <c r="H84" s="28" t="s">
        <v>155</v>
      </c>
      <c r="I84" s="196">
        <v>3000</v>
      </c>
      <c r="J84" s="72">
        <v>59.295656000000001</v>
      </c>
      <c r="K84" s="188">
        <v>21.374585</v>
      </c>
    </row>
    <row r="85" spans="1:11">
      <c r="A85" s="62">
        <v>95</v>
      </c>
      <c r="B85" s="235"/>
      <c r="C85" s="238"/>
      <c r="D85" s="235"/>
      <c r="E85" s="241"/>
      <c r="F85" s="189" t="s">
        <v>40</v>
      </c>
      <c r="G85" s="196"/>
      <c r="H85" s="28" t="s">
        <v>156</v>
      </c>
      <c r="I85" s="196"/>
      <c r="J85" s="72">
        <v>59.541626999999998</v>
      </c>
      <c r="K85" s="188">
        <v>21.384594</v>
      </c>
    </row>
    <row r="86" spans="1:11">
      <c r="A86" s="62">
        <v>96</v>
      </c>
      <c r="B86" s="235"/>
      <c r="C86" s="238"/>
      <c r="D86" s="235"/>
      <c r="E86" s="241"/>
      <c r="F86" s="189" t="s">
        <v>40</v>
      </c>
      <c r="G86" s="196"/>
      <c r="H86" s="28" t="s">
        <v>157</v>
      </c>
      <c r="I86" s="196"/>
      <c r="J86" s="72">
        <v>60.512861999999998</v>
      </c>
      <c r="K86" s="188">
        <v>21.423860000000001</v>
      </c>
    </row>
    <row r="87" spans="1:11">
      <c r="A87" s="63">
        <v>97</v>
      </c>
      <c r="B87" s="235"/>
      <c r="C87" s="238"/>
      <c r="D87" s="235"/>
      <c r="E87" s="241"/>
      <c r="F87" s="192" t="s">
        <v>42</v>
      </c>
      <c r="G87" s="196"/>
      <c r="H87" s="26" t="s">
        <v>155</v>
      </c>
      <c r="I87" s="196"/>
      <c r="J87" s="73">
        <v>183.64908299999999</v>
      </c>
      <c r="K87" s="25">
        <v>43.020851</v>
      </c>
    </row>
    <row r="88" spans="1:11">
      <c r="A88" s="63">
        <v>98</v>
      </c>
      <c r="B88" s="235"/>
      <c r="C88" s="238"/>
      <c r="D88" s="235"/>
      <c r="E88" s="241"/>
      <c r="F88" s="192" t="s">
        <v>42</v>
      </c>
      <c r="G88" s="196"/>
      <c r="H88" s="26" t="s">
        <v>156</v>
      </c>
      <c r="I88" s="196"/>
      <c r="J88" s="73">
        <v>185.53257099999999</v>
      </c>
      <c r="K88" s="25">
        <v>43.218952000000002</v>
      </c>
    </row>
    <row r="89" spans="1:11">
      <c r="A89" s="63">
        <v>99</v>
      </c>
      <c r="B89" s="235"/>
      <c r="C89" s="238"/>
      <c r="D89" s="235"/>
      <c r="E89" s="241"/>
      <c r="F89" s="192" t="s">
        <v>42</v>
      </c>
      <c r="G89" s="196"/>
      <c r="H89" s="26" t="s">
        <v>157</v>
      </c>
      <c r="I89" s="196"/>
      <c r="J89" s="73">
        <v>192.87302</v>
      </c>
      <c r="K89" s="25">
        <v>43.988391</v>
      </c>
    </row>
    <row r="90" spans="1:11">
      <c r="A90" s="46">
        <v>100</v>
      </c>
      <c r="B90" s="235"/>
      <c r="C90" s="238"/>
      <c r="D90" s="235"/>
      <c r="E90" s="241"/>
      <c r="F90" s="193" t="s">
        <v>47</v>
      </c>
      <c r="G90" s="196"/>
      <c r="H90" s="29" t="s">
        <v>155</v>
      </c>
      <c r="I90" s="196"/>
      <c r="J90" s="74">
        <v>333.20904300000001</v>
      </c>
      <c r="K90" s="24">
        <v>57.380578999999997</v>
      </c>
    </row>
    <row r="91" spans="1:11">
      <c r="A91" s="46">
        <v>101</v>
      </c>
      <c r="B91" s="235"/>
      <c r="C91" s="238"/>
      <c r="D91" s="235"/>
      <c r="E91" s="241"/>
      <c r="F91" s="193" t="s">
        <v>47</v>
      </c>
      <c r="G91" s="196"/>
      <c r="H91" s="29" t="s">
        <v>156</v>
      </c>
      <c r="I91" s="196"/>
      <c r="J91" s="74">
        <v>336.830579</v>
      </c>
      <c r="K91" s="24">
        <v>57.641998999999998</v>
      </c>
    </row>
    <row r="92" spans="1:11">
      <c r="A92" s="47">
        <v>102</v>
      </c>
      <c r="B92" s="236"/>
      <c r="C92" s="239"/>
      <c r="D92" s="236"/>
      <c r="E92" s="242"/>
      <c r="F92" s="194" t="s">
        <v>47</v>
      </c>
      <c r="G92" s="197"/>
      <c r="H92" s="30" t="s">
        <v>157</v>
      </c>
      <c r="I92" s="197"/>
      <c r="J92" s="75">
        <v>350.93734799999999</v>
      </c>
      <c r="K92" s="31">
        <v>58.657496000000002</v>
      </c>
    </row>
    <row r="93" spans="1:11" ht="15" customHeight="1">
      <c r="A93" s="62">
        <v>103</v>
      </c>
      <c r="B93" s="235" t="s">
        <v>29</v>
      </c>
      <c r="C93" s="238" t="s">
        <v>11</v>
      </c>
      <c r="D93" s="203" t="s">
        <v>24</v>
      </c>
      <c r="E93" s="241" t="s">
        <v>18</v>
      </c>
      <c r="F93" s="189" t="s">
        <v>40</v>
      </c>
      <c r="G93" s="196" t="s">
        <v>158</v>
      </c>
      <c r="H93" s="28" t="s">
        <v>159</v>
      </c>
      <c r="I93" s="196">
        <v>3000</v>
      </c>
      <c r="J93" s="72">
        <v>67.247838000000002</v>
      </c>
      <c r="K93" s="188">
        <v>23.556239999999999</v>
      </c>
    </row>
    <row r="94" spans="1:11">
      <c r="A94" s="62">
        <v>104</v>
      </c>
      <c r="B94" s="235"/>
      <c r="C94" s="238"/>
      <c r="D94" s="235"/>
      <c r="E94" s="241"/>
      <c r="F94" s="189" t="s">
        <v>40</v>
      </c>
      <c r="G94" s="196"/>
      <c r="H94" s="28" t="s">
        <v>160</v>
      </c>
      <c r="I94" s="196"/>
      <c r="J94" s="72">
        <v>67.579541000000006</v>
      </c>
      <c r="K94" s="188">
        <v>23.597162000000001</v>
      </c>
    </row>
    <row r="95" spans="1:11">
      <c r="A95" s="62">
        <v>105</v>
      </c>
      <c r="B95" s="235"/>
      <c r="C95" s="238"/>
      <c r="D95" s="235"/>
      <c r="E95" s="241"/>
      <c r="F95" s="189" t="s">
        <v>40</v>
      </c>
      <c r="G95" s="196"/>
      <c r="H95" s="28" t="s">
        <v>161</v>
      </c>
      <c r="I95" s="196"/>
      <c r="J95" s="72">
        <v>68.879873000000003</v>
      </c>
      <c r="K95" s="188">
        <v>23.757197999999999</v>
      </c>
    </row>
    <row r="96" spans="1:11">
      <c r="A96" s="63">
        <v>106</v>
      </c>
      <c r="B96" s="235"/>
      <c r="C96" s="238"/>
      <c r="D96" s="235"/>
      <c r="E96" s="241"/>
      <c r="F96" s="192" t="s">
        <v>42</v>
      </c>
      <c r="G96" s="196"/>
      <c r="H96" s="26" t="s">
        <v>159</v>
      </c>
      <c r="I96" s="196"/>
      <c r="J96" s="73">
        <v>184.74416099999999</v>
      </c>
      <c r="K96" s="25">
        <v>45.028489999999998</v>
      </c>
    </row>
    <row r="97" spans="1:11">
      <c r="A97" s="63">
        <v>107</v>
      </c>
      <c r="B97" s="235"/>
      <c r="C97" s="238"/>
      <c r="D97" s="235"/>
      <c r="E97" s="241"/>
      <c r="F97" s="192" t="s">
        <v>42</v>
      </c>
      <c r="G97" s="196"/>
      <c r="H97" s="26" t="s">
        <v>160</v>
      </c>
      <c r="I97" s="196"/>
      <c r="J97" s="73">
        <v>186.63904400000001</v>
      </c>
      <c r="K97" s="25">
        <v>45.248556999999998</v>
      </c>
    </row>
    <row r="98" spans="1:11">
      <c r="A98" s="63">
        <v>108</v>
      </c>
      <c r="B98" s="235"/>
      <c r="C98" s="238"/>
      <c r="D98" s="235"/>
      <c r="E98" s="241"/>
      <c r="F98" s="192" t="s">
        <v>42</v>
      </c>
      <c r="G98" s="196"/>
      <c r="H98" s="26" t="s">
        <v>161</v>
      </c>
      <c r="I98" s="196"/>
      <c r="J98" s="73">
        <v>194.02239499999999</v>
      </c>
      <c r="K98" s="25">
        <v>46.102677</v>
      </c>
    </row>
    <row r="99" spans="1:11">
      <c r="A99" s="46">
        <v>109</v>
      </c>
      <c r="B99" s="235"/>
      <c r="C99" s="238"/>
      <c r="D99" s="235"/>
      <c r="E99" s="241"/>
      <c r="F99" s="193" t="s">
        <v>47</v>
      </c>
      <c r="G99" s="196"/>
      <c r="H99" s="29" t="s">
        <v>159</v>
      </c>
      <c r="I99" s="196"/>
      <c r="J99" s="74">
        <v>332.11469399999999</v>
      </c>
      <c r="K99" s="24">
        <v>56.197074999999998</v>
      </c>
    </row>
    <row r="100" spans="1:11">
      <c r="A100" s="46">
        <v>110</v>
      </c>
      <c r="B100" s="235"/>
      <c r="C100" s="238"/>
      <c r="D100" s="235"/>
      <c r="E100" s="241"/>
      <c r="F100" s="193" t="s">
        <v>47</v>
      </c>
      <c r="G100" s="196"/>
      <c r="H100" s="29" t="s">
        <v>160</v>
      </c>
      <c r="I100" s="196"/>
      <c r="J100" s="74">
        <v>335.74263200000001</v>
      </c>
      <c r="K100" s="24">
        <v>56.446983000000003</v>
      </c>
    </row>
    <row r="101" spans="1:11">
      <c r="A101" s="47">
        <v>111</v>
      </c>
      <c r="B101" s="236"/>
      <c r="C101" s="239"/>
      <c r="D101" s="236"/>
      <c r="E101" s="242"/>
      <c r="F101" s="194" t="s">
        <v>47</v>
      </c>
      <c r="G101" s="197"/>
      <c r="H101" s="30" t="s">
        <v>161</v>
      </c>
      <c r="I101" s="197"/>
      <c r="J101" s="75">
        <v>349.872882</v>
      </c>
      <c r="K101" s="31">
        <v>57.417935999999997</v>
      </c>
    </row>
    <row r="102" spans="1:11" ht="15" customHeight="1">
      <c r="A102" s="62">
        <v>112</v>
      </c>
      <c r="B102" s="235" t="s">
        <v>29</v>
      </c>
      <c r="C102" s="238" t="s">
        <v>11</v>
      </c>
      <c r="D102" s="203" t="s">
        <v>24</v>
      </c>
      <c r="E102" s="241" t="s">
        <v>18</v>
      </c>
      <c r="F102" s="189" t="s">
        <v>40</v>
      </c>
      <c r="G102" s="196" t="s">
        <v>162</v>
      </c>
      <c r="H102" s="28" t="s">
        <v>163</v>
      </c>
      <c r="I102" s="196">
        <v>3000</v>
      </c>
      <c r="J102" s="72">
        <v>86.199186999999995</v>
      </c>
      <c r="K102" s="188">
        <v>21.590547000000001</v>
      </c>
    </row>
    <row r="103" spans="1:11">
      <c r="A103" s="62">
        <v>113</v>
      </c>
      <c r="B103" s="235"/>
      <c r="C103" s="238"/>
      <c r="D103" s="235"/>
      <c r="E103" s="241"/>
      <c r="F103" s="189" t="s">
        <v>40</v>
      </c>
      <c r="G103" s="196"/>
      <c r="H103" s="28" t="s">
        <v>164</v>
      </c>
      <c r="I103" s="196"/>
      <c r="J103" s="72">
        <v>86.350444999999993</v>
      </c>
      <c r="K103" s="188">
        <v>21.593464999999998</v>
      </c>
    </row>
    <row r="104" spans="1:11">
      <c r="A104" s="62">
        <v>114</v>
      </c>
      <c r="B104" s="235"/>
      <c r="C104" s="238"/>
      <c r="D104" s="235"/>
      <c r="E104" s="241"/>
      <c r="F104" s="189" t="s">
        <v>40</v>
      </c>
      <c r="G104" s="196"/>
      <c r="H104" s="28" t="s">
        <v>165</v>
      </c>
      <c r="I104" s="196"/>
      <c r="J104" s="72">
        <v>86.952723000000006</v>
      </c>
      <c r="K104" s="188">
        <v>21.605084000000002</v>
      </c>
    </row>
    <row r="105" spans="1:11">
      <c r="A105" s="63">
        <v>115</v>
      </c>
      <c r="B105" s="235"/>
      <c r="C105" s="238"/>
      <c r="D105" s="235"/>
      <c r="E105" s="241"/>
      <c r="F105" s="192" t="s">
        <v>42</v>
      </c>
      <c r="G105" s="196"/>
      <c r="H105" s="26" t="s">
        <v>163</v>
      </c>
      <c r="I105" s="196"/>
      <c r="J105" s="73">
        <v>361.80496499999998</v>
      </c>
      <c r="K105" s="25">
        <v>34.639273000000003</v>
      </c>
    </row>
    <row r="106" spans="1:11">
      <c r="A106" s="63">
        <v>116</v>
      </c>
      <c r="B106" s="235"/>
      <c r="C106" s="238"/>
      <c r="D106" s="235"/>
      <c r="E106" s="241"/>
      <c r="F106" s="192" t="s">
        <v>42</v>
      </c>
      <c r="G106" s="196"/>
      <c r="H106" s="26" t="s">
        <v>164</v>
      </c>
      <c r="I106" s="196"/>
      <c r="J106" s="73">
        <v>362.700155</v>
      </c>
      <c r="K106" s="25">
        <v>34.662176000000002</v>
      </c>
    </row>
    <row r="107" spans="1:11">
      <c r="A107" s="63">
        <v>117</v>
      </c>
      <c r="B107" s="235"/>
      <c r="C107" s="238"/>
      <c r="D107" s="235"/>
      <c r="E107" s="241"/>
      <c r="F107" s="192" t="s">
        <v>42</v>
      </c>
      <c r="G107" s="196"/>
      <c r="H107" s="26" t="s">
        <v>165</v>
      </c>
      <c r="I107" s="196"/>
      <c r="J107" s="73">
        <v>366.25892700000003</v>
      </c>
      <c r="K107" s="25">
        <v>34.753255000000003</v>
      </c>
    </row>
    <row r="108" spans="1:11">
      <c r="A108" s="46">
        <v>118</v>
      </c>
      <c r="B108" s="235"/>
      <c r="C108" s="238"/>
      <c r="D108" s="235"/>
      <c r="E108" s="241"/>
      <c r="F108" s="193" t="s">
        <v>47</v>
      </c>
      <c r="G108" s="196"/>
      <c r="H108" s="29" t="s">
        <v>163</v>
      </c>
      <c r="I108" s="196"/>
      <c r="J108" s="74">
        <v>688.17548099999999</v>
      </c>
      <c r="K108" s="24">
        <v>45.074379</v>
      </c>
    </row>
    <row r="109" spans="1:11">
      <c r="A109" s="46">
        <v>119</v>
      </c>
      <c r="B109" s="235"/>
      <c r="C109" s="238"/>
      <c r="D109" s="235"/>
      <c r="E109" s="241"/>
      <c r="F109" s="193" t="s">
        <v>47</v>
      </c>
      <c r="G109" s="196"/>
      <c r="H109" s="29" t="s">
        <v>164</v>
      </c>
      <c r="I109" s="196"/>
      <c r="J109" s="74">
        <v>689.89839400000005</v>
      </c>
      <c r="K109" s="24">
        <v>45.101053</v>
      </c>
    </row>
    <row r="110" spans="1:11">
      <c r="A110" s="47">
        <v>120</v>
      </c>
      <c r="B110" s="236"/>
      <c r="C110" s="239"/>
      <c r="D110" s="236"/>
      <c r="E110" s="242"/>
      <c r="F110" s="194" t="s">
        <v>47</v>
      </c>
      <c r="G110" s="197"/>
      <c r="H110" s="30" t="s">
        <v>165</v>
      </c>
      <c r="I110" s="197"/>
      <c r="J110" s="75">
        <v>696.74739299999999</v>
      </c>
      <c r="K110" s="31">
        <v>45.207146000000002</v>
      </c>
    </row>
    <row r="111" spans="1:11" ht="15" customHeight="1">
      <c r="A111" s="62">
        <v>121</v>
      </c>
      <c r="B111" s="235" t="s">
        <v>29</v>
      </c>
      <c r="C111" s="238" t="s">
        <v>11</v>
      </c>
      <c r="D111" s="203" t="s">
        <v>24</v>
      </c>
      <c r="E111" s="241" t="s">
        <v>18</v>
      </c>
      <c r="F111" s="189" t="s">
        <v>40</v>
      </c>
      <c r="G111" s="196" t="s">
        <v>166</v>
      </c>
      <c r="H111" s="28" t="s">
        <v>167</v>
      </c>
      <c r="I111" s="196">
        <v>3000</v>
      </c>
      <c r="J111" s="72">
        <v>58.113103000000002</v>
      </c>
      <c r="K111" s="188">
        <v>21.458936000000001</v>
      </c>
    </row>
    <row r="112" spans="1:11">
      <c r="A112" s="62">
        <v>122</v>
      </c>
      <c r="B112" s="235"/>
      <c r="C112" s="238"/>
      <c r="D112" s="235"/>
      <c r="E112" s="241"/>
      <c r="F112" s="189" t="s">
        <v>40</v>
      </c>
      <c r="G112" s="196"/>
      <c r="H112" s="28" t="s">
        <v>168</v>
      </c>
      <c r="I112" s="196"/>
      <c r="J112" s="72">
        <v>58.377955999999998</v>
      </c>
      <c r="K112" s="188">
        <v>21.472417</v>
      </c>
    </row>
    <row r="113" spans="1:11">
      <c r="A113" s="62">
        <v>123</v>
      </c>
      <c r="B113" s="235"/>
      <c r="C113" s="238"/>
      <c r="D113" s="235"/>
      <c r="E113" s="241"/>
      <c r="F113" s="189" t="s">
        <v>40</v>
      </c>
      <c r="G113" s="196"/>
      <c r="H113" s="28" t="s">
        <v>169</v>
      </c>
      <c r="I113" s="196"/>
      <c r="J113" s="72">
        <v>59.421188000000001</v>
      </c>
      <c r="K113" s="188">
        <v>21.525100999999999</v>
      </c>
    </row>
    <row r="114" spans="1:11">
      <c r="A114" s="63">
        <v>124</v>
      </c>
      <c r="B114" s="235"/>
      <c r="C114" s="238"/>
      <c r="D114" s="235"/>
      <c r="E114" s="241"/>
      <c r="F114" s="192" t="s">
        <v>42</v>
      </c>
      <c r="G114" s="196"/>
      <c r="H114" s="26" t="s">
        <v>167</v>
      </c>
      <c r="I114" s="196"/>
      <c r="J114" s="73">
        <v>163.94431</v>
      </c>
      <c r="K114" s="25">
        <v>33.512386999999997</v>
      </c>
    </row>
    <row r="115" spans="1:11">
      <c r="A115" s="63">
        <v>125</v>
      </c>
      <c r="B115" s="235"/>
      <c r="C115" s="238"/>
      <c r="D115" s="235"/>
      <c r="E115" s="241"/>
      <c r="F115" s="192" t="s">
        <v>42</v>
      </c>
      <c r="G115" s="196"/>
      <c r="H115" s="26" t="s">
        <v>168</v>
      </c>
      <c r="I115" s="196"/>
      <c r="J115" s="73">
        <v>165.96203199999999</v>
      </c>
      <c r="K115" s="25">
        <v>33.619504999999997</v>
      </c>
    </row>
    <row r="116" spans="1:11">
      <c r="A116" s="63">
        <v>126</v>
      </c>
      <c r="B116" s="235"/>
      <c r="C116" s="238"/>
      <c r="D116" s="235"/>
      <c r="E116" s="241"/>
      <c r="F116" s="192" t="s">
        <v>42</v>
      </c>
      <c r="G116" s="196"/>
      <c r="H116" s="26" t="s">
        <v>169</v>
      </c>
      <c r="I116" s="196"/>
      <c r="J116" s="73">
        <v>173.793432</v>
      </c>
      <c r="K116" s="25">
        <v>34.035539999999997</v>
      </c>
    </row>
    <row r="117" spans="1:11">
      <c r="A117" s="46">
        <v>127</v>
      </c>
      <c r="B117" s="235"/>
      <c r="C117" s="238"/>
      <c r="D117" s="235"/>
      <c r="E117" s="241"/>
      <c r="F117" s="193" t="s">
        <v>47</v>
      </c>
      <c r="G117" s="196"/>
      <c r="H117" s="29" t="s">
        <v>167</v>
      </c>
      <c r="I117" s="196"/>
      <c r="J117" s="74">
        <v>301.930972</v>
      </c>
      <c r="K117" s="24">
        <v>43.113024000000003</v>
      </c>
    </row>
    <row r="118" spans="1:11">
      <c r="A118" s="46">
        <v>128</v>
      </c>
      <c r="B118" s="235"/>
      <c r="C118" s="238"/>
      <c r="D118" s="235"/>
      <c r="E118" s="241"/>
      <c r="F118" s="193" t="s">
        <v>47</v>
      </c>
      <c r="G118" s="196"/>
      <c r="H118" s="29" t="s">
        <v>168</v>
      </c>
      <c r="I118" s="196"/>
      <c r="J118" s="74">
        <v>305.86073699999997</v>
      </c>
      <c r="K118" s="24">
        <v>43.227283</v>
      </c>
    </row>
    <row r="119" spans="1:11">
      <c r="A119" s="47">
        <v>129</v>
      </c>
      <c r="B119" s="236"/>
      <c r="C119" s="239"/>
      <c r="D119" s="236"/>
      <c r="E119" s="242"/>
      <c r="F119" s="194" t="s">
        <v>47</v>
      </c>
      <c r="G119" s="197"/>
      <c r="H119" s="30" t="s">
        <v>169</v>
      </c>
      <c r="I119" s="197"/>
      <c r="J119" s="75">
        <v>321.09671400000002</v>
      </c>
      <c r="K119" s="31">
        <v>43.671635000000002</v>
      </c>
    </row>
    <row r="120" spans="1:11" ht="15" customHeight="1">
      <c r="A120" s="62">
        <v>130</v>
      </c>
      <c r="B120" s="235" t="s">
        <v>29</v>
      </c>
      <c r="C120" s="238" t="s">
        <v>11</v>
      </c>
      <c r="D120" s="203" t="s">
        <v>24</v>
      </c>
      <c r="E120" s="241" t="s">
        <v>18</v>
      </c>
      <c r="F120" s="189" t="s">
        <v>40</v>
      </c>
      <c r="G120" s="196" t="s">
        <v>170</v>
      </c>
      <c r="H120" s="28" t="s">
        <v>171</v>
      </c>
      <c r="I120" s="196">
        <v>3000</v>
      </c>
      <c r="J120" s="72">
        <v>64.591747999999995</v>
      </c>
      <c r="K120" s="188">
        <v>22.973801000000002</v>
      </c>
    </row>
    <row r="121" spans="1:11">
      <c r="A121" s="62">
        <v>131</v>
      </c>
      <c r="B121" s="235"/>
      <c r="C121" s="238"/>
      <c r="D121" s="235"/>
      <c r="E121" s="241"/>
      <c r="F121" s="189" t="s">
        <v>40</v>
      </c>
      <c r="G121" s="196"/>
      <c r="H121" s="28" t="s">
        <v>172</v>
      </c>
      <c r="I121" s="196"/>
      <c r="J121" s="72">
        <v>64.913574999999994</v>
      </c>
      <c r="K121" s="188">
        <v>23.009198999999999</v>
      </c>
    </row>
    <row r="122" spans="1:11">
      <c r="A122" s="62">
        <v>132</v>
      </c>
      <c r="B122" s="235"/>
      <c r="C122" s="238"/>
      <c r="D122" s="235"/>
      <c r="E122" s="241"/>
      <c r="F122" s="189" t="s">
        <v>40</v>
      </c>
      <c r="G122" s="196"/>
      <c r="H122" s="28" t="s">
        <v>173</v>
      </c>
      <c r="I122" s="196"/>
      <c r="J122" s="72">
        <v>66.175318000000004</v>
      </c>
      <c r="K122" s="188">
        <v>23.147516</v>
      </c>
    </row>
    <row r="123" spans="1:11">
      <c r="A123" s="63">
        <v>133</v>
      </c>
      <c r="B123" s="235"/>
      <c r="C123" s="238"/>
      <c r="D123" s="235"/>
      <c r="E123" s="241"/>
      <c r="F123" s="192" t="s">
        <v>42</v>
      </c>
      <c r="G123" s="196"/>
      <c r="H123" s="26" t="s">
        <v>171</v>
      </c>
      <c r="I123" s="196"/>
      <c r="J123" s="73">
        <v>180.96052</v>
      </c>
      <c r="K123" s="25">
        <v>46.963397999999998</v>
      </c>
    </row>
    <row r="124" spans="1:11">
      <c r="A124" s="63">
        <v>134</v>
      </c>
      <c r="B124" s="235"/>
      <c r="C124" s="238"/>
      <c r="D124" s="235"/>
      <c r="E124" s="241"/>
      <c r="F124" s="192" t="s">
        <v>42</v>
      </c>
      <c r="G124" s="196"/>
      <c r="H124" s="26" t="s">
        <v>172</v>
      </c>
      <c r="I124" s="196"/>
      <c r="J124" s="73">
        <v>182.93188799999999</v>
      </c>
      <c r="K124" s="25">
        <v>47.221089999999997</v>
      </c>
    </row>
    <row r="125" spans="1:11">
      <c r="A125" s="63">
        <v>135</v>
      </c>
      <c r="B125" s="235"/>
      <c r="C125" s="238"/>
      <c r="D125" s="235"/>
      <c r="E125" s="241"/>
      <c r="F125" s="192" t="s">
        <v>42</v>
      </c>
      <c r="G125" s="196"/>
      <c r="H125" s="26" t="s">
        <v>173</v>
      </c>
      <c r="I125" s="196"/>
      <c r="J125" s="73">
        <v>190.59857400000001</v>
      </c>
      <c r="K125" s="25">
        <v>48.218528999999997</v>
      </c>
    </row>
    <row r="126" spans="1:11">
      <c r="A126" s="46">
        <v>136</v>
      </c>
      <c r="B126" s="235"/>
      <c r="C126" s="238"/>
      <c r="D126" s="235"/>
      <c r="E126" s="241"/>
      <c r="F126" s="193" t="s">
        <v>47</v>
      </c>
      <c r="G126" s="196"/>
      <c r="H126" s="29" t="s">
        <v>171</v>
      </c>
      <c r="I126" s="196"/>
      <c r="J126" s="74">
        <v>323.14339200000001</v>
      </c>
      <c r="K126" s="24">
        <v>61.785929000000003</v>
      </c>
    </row>
    <row r="127" spans="1:11">
      <c r="A127" s="46">
        <v>137</v>
      </c>
      <c r="B127" s="235"/>
      <c r="C127" s="238"/>
      <c r="D127" s="235"/>
      <c r="E127" s="241"/>
      <c r="F127" s="193" t="s">
        <v>47</v>
      </c>
      <c r="G127" s="196"/>
      <c r="H127" s="29" t="s">
        <v>172</v>
      </c>
      <c r="I127" s="196"/>
      <c r="J127" s="74">
        <v>326.908908</v>
      </c>
      <c r="K127" s="24">
        <v>62.117505000000001</v>
      </c>
    </row>
    <row r="128" spans="1:11">
      <c r="A128" s="47">
        <v>138</v>
      </c>
      <c r="B128" s="236"/>
      <c r="C128" s="239"/>
      <c r="D128" s="236"/>
      <c r="E128" s="242"/>
      <c r="F128" s="194" t="s">
        <v>47</v>
      </c>
      <c r="G128" s="197"/>
      <c r="H128" s="30" t="s">
        <v>173</v>
      </c>
      <c r="I128" s="197"/>
      <c r="J128" s="75">
        <v>341.54721599999999</v>
      </c>
      <c r="K128" s="31">
        <v>63.401283999999997</v>
      </c>
    </row>
    <row r="129" spans="1:11">
      <c r="A129" s="62">
        <v>139</v>
      </c>
      <c r="B129" s="235" t="s">
        <v>32</v>
      </c>
      <c r="C129" s="238" t="s">
        <v>20</v>
      </c>
      <c r="D129" s="203" t="s">
        <v>24</v>
      </c>
      <c r="E129" s="241" t="s">
        <v>18</v>
      </c>
      <c r="F129" s="189" t="s">
        <v>53</v>
      </c>
      <c r="G129" s="196" t="s">
        <v>174</v>
      </c>
      <c r="H129" s="28" t="s">
        <v>175</v>
      </c>
      <c r="I129" s="196">
        <v>5000</v>
      </c>
      <c r="J129" s="72">
        <v>51.161141000000001</v>
      </c>
      <c r="K129" s="188">
        <v>20.635638</v>
      </c>
    </row>
    <row r="130" spans="1:11">
      <c r="A130" s="62">
        <v>140</v>
      </c>
      <c r="B130" s="235"/>
      <c r="C130" s="238"/>
      <c r="D130" s="235"/>
      <c r="E130" s="241"/>
      <c r="F130" s="189" t="s">
        <v>53</v>
      </c>
      <c r="G130" s="196"/>
      <c r="H130" s="28" t="s">
        <v>176</v>
      </c>
      <c r="I130" s="196"/>
      <c r="J130" s="72">
        <v>53.408150999999997</v>
      </c>
      <c r="K130" s="188">
        <v>20.64293</v>
      </c>
    </row>
    <row r="131" spans="1:11">
      <c r="A131" s="62">
        <v>141</v>
      </c>
      <c r="B131" s="235"/>
      <c r="C131" s="238"/>
      <c r="D131" s="235"/>
      <c r="E131" s="241"/>
      <c r="F131" s="189" t="s">
        <v>53</v>
      </c>
      <c r="G131" s="196"/>
      <c r="H131" s="28" t="s">
        <v>177</v>
      </c>
      <c r="I131" s="196"/>
      <c r="J131" s="72">
        <v>59.834746000000003</v>
      </c>
      <c r="K131" s="188">
        <v>20.664764000000002</v>
      </c>
    </row>
    <row r="132" spans="1:11">
      <c r="A132" s="63">
        <v>142</v>
      </c>
      <c r="B132" s="235"/>
      <c r="C132" s="238"/>
      <c r="D132" s="235"/>
      <c r="E132" s="241"/>
      <c r="F132" s="192" t="s">
        <v>56</v>
      </c>
      <c r="G132" s="196"/>
      <c r="H132" s="26" t="s">
        <v>175</v>
      </c>
      <c r="I132" s="196"/>
      <c r="J132" s="73">
        <v>69.519311000000002</v>
      </c>
      <c r="K132" s="25">
        <v>27.435493999999998</v>
      </c>
    </row>
    <row r="133" spans="1:11">
      <c r="A133" s="63">
        <v>143</v>
      </c>
      <c r="B133" s="235"/>
      <c r="C133" s="238"/>
      <c r="D133" s="235"/>
      <c r="E133" s="241"/>
      <c r="F133" s="192" t="s">
        <v>56</v>
      </c>
      <c r="G133" s="196"/>
      <c r="H133" s="26" t="s">
        <v>176</v>
      </c>
      <c r="I133" s="196"/>
      <c r="J133" s="73">
        <v>78.448789000000005</v>
      </c>
      <c r="K133" s="25">
        <v>27.501280000000001</v>
      </c>
    </row>
    <row r="134" spans="1:11">
      <c r="A134" s="63">
        <v>144</v>
      </c>
      <c r="B134" s="235"/>
      <c r="C134" s="238"/>
      <c r="D134" s="235"/>
      <c r="E134" s="241"/>
      <c r="F134" s="192" t="s">
        <v>56</v>
      </c>
      <c r="G134" s="196"/>
      <c r="H134" s="26" t="s">
        <v>177</v>
      </c>
      <c r="I134" s="196"/>
      <c r="J134" s="73">
        <v>103.937827</v>
      </c>
      <c r="K134" s="25">
        <v>27.697469000000002</v>
      </c>
    </row>
    <row r="135" spans="1:11">
      <c r="A135" s="46">
        <v>145</v>
      </c>
      <c r="B135" s="235"/>
      <c r="C135" s="238"/>
      <c r="D135" s="235"/>
      <c r="E135" s="241"/>
      <c r="F135" s="193" t="s">
        <v>59</v>
      </c>
      <c r="G135" s="196"/>
      <c r="H135" s="29" t="s">
        <v>175</v>
      </c>
      <c r="I135" s="196"/>
      <c r="J135" s="74">
        <v>88.484596999999994</v>
      </c>
      <c r="K135" s="24">
        <v>35.261546000000003</v>
      </c>
    </row>
    <row r="136" spans="1:11">
      <c r="A136" s="46">
        <v>146</v>
      </c>
      <c r="B136" s="235"/>
      <c r="C136" s="238"/>
      <c r="D136" s="235"/>
      <c r="E136" s="241"/>
      <c r="F136" s="193" t="s">
        <v>59</v>
      </c>
      <c r="G136" s="196"/>
      <c r="H136" s="29" t="s">
        <v>176</v>
      </c>
      <c r="I136" s="196"/>
      <c r="J136" s="74">
        <v>103.575271</v>
      </c>
      <c r="K136" s="24">
        <v>35.355128000000001</v>
      </c>
    </row>
    <row r="137" spans="1:11">
      <c r="A137" s="47">
        <v>147</v>
      </c>
      <c r="B137" s="236"/>
      <c r="C137" s="239"/>
      <c r="D137" s="236"/>
      <c r="E137" s="242"/>
      <c r="F137" s="194" t="s">
        <v>59</v>
      </c>
      <c r="G137" s="197"/>
      <c r="H137" s="30" t="s">
        <v>177</v>
      </c>
      <c r="I137" s="197"/>
      <c r="J137" s="75">
        <v>146.21408600000001</v>
      </c>
      <c r="K137" s="31">
        <v>35.634072000000003</v>
      </c>
    </row>
    <row r="138" spans="1:11">
      <c r="A138" s="62">
        <v>148</v>
      </c>
      <c r="B138" s="235" t="s">
        <v>32</v>
      </c>
      <c r="C138" s="238" t="s">
        <v>20</v>
      </c>
      <c r="D138" s="203" t="s">
        <v>24</v>
      </c>
      <c r="E138" s="241" t="s">
        <v>18</v>
      </c>
      <c r="F138" s="189" t="s">
        <v>53</v>
      </c>
      <c r="G138" s="196" t="s">
        <v>178</v>
      </c>
      <c r="H138" s="28" t="s">
        <v>179</v>
      </c>
      <c r="I138" s="196">
        <v>5000</v>
      </c>
      <c r="J138" s="72">
        <v>51.939295000000001</v>
      </c>
      <c r="K138" s="188">
        <v>20.639935999999999</v>
      </c>
    </row>
    <row r="139" spans="1:11">
      <c r="A139" s="62">
        <v>149</v>
      </c>
      <c r="B139" s="235"/>
      <c r="C139" s="238"/>
      <c r="D139" s="235"/>
      <c r="E139" s="241"/>
      <c r="F139" s="189" t="s">
        <v>53</v>
      </c>
      <c r="G139" s="196"/>
      <c r="H139" s="28" t="s">
        <v>180</v>
      </c>
      <c r="I139" s="196"/>
      <c r="J139" s="72">
        <v>53.476419999999997</v>
      </c>
      <c r="K139" s="188">
        <v>20.645375000000001</v>
      </c>
    </row>
    <row r="140" spans="1:11">
      <c r="A140" s="62">
        <v>150</v>
      </c>
      <c r="B140" s="235"/>
      <c r="C140" s="238"/>
      <c r="D140" s="235"/>
      <c r="E140" s="241"/>
      <c r="F140" s="189" t="s">
        <v>53</v>
      </c>
      <c r="G140" s="196"/>
      <c r="H140" s="28" t="s">
        <v>181</v>
      </c>
      <c r="I140" s="196"/>
      <c r="J140" s="72">
        <v>58.333481999999997</v>
      </c>
      <c r="K140" s="188">
        <v>20.662993</v>
      </c>
    </row>
    <row r="141" spans="1:11">
      <c r="A141" s="63">
        <v>151</v>
      </c>
      <c r="B141" s="235"/>
      <c r="C141" s="238"/>
      <c r="D141" s="235"/>
      <c r="E141" s="241"/>
      <c r="F141" s="192" t="s">
        <v>56</v>
      </c>
      <c r="G141" s="196"/>
      <c r="H141" s="26" t="s">
        <v>179</v>
      </c>
      <c r="I141" s="196"/>
      <c r="J141" s="73">
        <v>76.661561000000006</v>
      </c>
      <c r="K141" s="25">
        <v>27.485913</v>
      </c>
    </row>
    <row r="142" spans="1:11">
      <c r="A142" s="63">
        <v>152</v>
      </c>
      <c r="B142" s="235"/>
      <c r="C142" s="238"/>
      <c r="D142" s="235"/>
      <c r="E142" s="241"/>
      <c r="F142" s="192" t="s">
        <v>56</v>
      </c>
      <c r="G142" s="196"/>
      <c r="H142" s="26" t="s">
        <v>180</v>
      </c>
      <c r="I142" s="196"/>
      <c r="J142" s="73">
        <v>83.889028999999994</v>
      </c>
      <c r="K142" s="25">
        <v>27.538233999999999</v>
      </c>
    </row>
    <row r="143" spans="1:11">
      <c r="A143" s="63">
        <v>153</v>
      </c>
      <c r="B143" s="235"/>
      <c r="C143" s="238"/>
      <c r="D143" s="235"/>
      <c r="E143" s="241"/>
      <c r="F143" s="192" t="s">
        <v>56</v>
      </c>
      <c r="G143" s="196"/>
      <c r="H143" s="26" t="s">
        <v>181</v>
      </c>
      <c r="I143" s="196"/>
      <c r="J143" s="73">
        <v>106.394232</v>
      </c>
      <c r="K143" s="25">
        <v>27.707124</v>
      </c>
    </row>
    <row r="144" spans="1:11">
      <c r="A144" s="46">
        <v>154</v>
      </c>
      <c r="B144" s="235"/>
      <c r="C144" s="238"/>
      <c r="D144" s="235"/>
      <c r="E144" s="241"/>
      <c r="F144" s="193" t="s">
        <v>59</v>
      </c>
      <c r="G144" s="196"/>
      <c r="H144" s="29" t="s">
        <v>179</v>
      </c>
      <c r="I144" s="196"/>
      <c r="J144" s="74">
        <v>106.87085399999999</v>
      </c>
      <c r="K144" s="24">
        <v>35.421078999999999</v>
      </c>
    </row>
    <row r="145" spans="1:11">
      <c r="A145" s="46">
        <v>155</v>
      </c>
      <c r="B145" s="235"/>
      <c r="C145" s="238"/>
      <c r="D145" s="235"/>
      <c r="E145" s="241"/>
      <c r="F145" s="193" t="s">
        <v>59</v>
      </c>
      <c r="G145" s="196"/>
      <c r="H145" s="29" t="s">
        <v>180</v>
      </c>
      <c r="I145" s="196"/>
      <c r="J145" s="74">
        <v>120.015558</v>
      </c>
      <c r="K145" s="24">
        <v>35.520319000000001</v>
      </c>
    </row>
    <row r="146" spans="1:11">
      <c r="A146" s="47">
        <v>156</v>
      </c>
      <c r="B146" s="236"/>
      <c r="C146" s="239"/>
      <c r="D146" s="236"/>
      <c r="E146" s="242"/>
      <c r="F146" s="194" t="s">
        <v>59</v>
      </c>
      <c r="G146" s="197"/>
      <c r="H146" s="30" t="s">
        <v>181</v>
      </c>
      <c r="I146" s="197"/>
      <c r="J146" s="75">
        <v>159.86373800000001</v>
      </c>
      <c r="K146" s="31">
        <v>35.840058999999997</v>
      </c>
    </row>
    <row r="147" spans="1:11">
      <c r="A147" s="62">
        <v>157</v>
      </c>
      <c r="B147" s="235" t="s">
        <v>32</v>
      </c>
      <c r="C147" s="238" t="s">
        <v>20</v>
      </c>
      <c r="D147" s="203" t="s">
        <v>24</v>
      </c>
      <c r="E147" s="241" t="s">
        <v>18</v>
      </c>
      <c r="F147" s="189" t="s">
        <v>53</v>
      </c>
      <c r="G147" s="196" t="s">
        <v>182</v>
      </c>
      <c r="H147" s="28" t="s">
        <v>183</v>
      </c>
      <c r="I147" s="196">
        <v>5000</v>
      </c>
      <c r="J147" s="72">
        <v>56.656807000000001</v>
      </c>
      <c r="K147" s="188">
        <v>20.713256000000001</v>
      </c>
    </row>
    <row r="148" spans="1:11">
      <c r="A148" s="62">
        <v>158</v>
      </c>
      <c r="B148" s="235"/>
      <c r="C148" s="238"/>
      <c r="D148" s="235"/>
      <c r="E148" s="241"/>
      <c r="F148" s="189" t="s">
        <v>53</v>
      </c>
      <c r="G148" s="196"/>
      <c r="H148" s="28" t="s">
        <v>184</v>
      </c>
      <c r="I148" s="196"/>
      <c r="J148" s="72">
        <v>56.899025000000002</v>
      </c>
      <c r="K148" s="188">
        <v>20.714976</v>
      </c>
    </row>
    <row r="149" spans="1:11">
      <c r="A149" s="62">
        <v>159</v>
      </c>
      <c r="B149" s="235"/>
      <c r="C149" s="238"/>
      <c r="D149" s="235"/>
      <c r="E149" s="241"/>
      <c r="F149" s="189" t="s">
        <v>53</v>
      </c>
      <c r="G149" s="196"/>
      <c r="H149" s="28" t="s">
        <v>185</v>
      </c>
      <c r="I149" s="196"/>
      <c r="J149" s="72">
        <v>57.854801999999999</v>
      </c>
      <c r="K149" s="188">
        <v>20.721703999999999</v>
      </c>
    </row>
    <row r="150" spans="1:11">
      <c r="A150" s="63">
        <v>160</v>
      </c>
      <c r="B150" s="235"/>
      <c r="C150" s="238"/>
      <c r="D150" s="235"/>
      <c r="E150" s="241"/>
      <c r="F150" s="192" t="s">
        <v>56</v>
      </c>
      <c r="G150" s="196"/>
      <c r="H150" s="26" t="s">
        <v>183</v>
      </c>
      <c r="I150" s="196"/>
      <c r="J150" s="73">
        <v>171.319254</v>
      </c>
      <c r="K150" s="25">
        <v>27.959152</v>
      </c>
    </row>
    <row r="151" spans="1:11">
      <c r="A151" s="63">
        <v>161</v>
      </c>
      <c r="B151" s="235"/>
      <c r="C151" s="238"/>
      <c r="D151" s="235"/>
      <c r="E151" s="241"/>
      <c r="F151" s="192" t="s">
        <v>56</v>
      </c>
      <c r="G151" s="196"/>
      <c r="H151" s="26" t="s">
        <v>184</v>
      </c>
      <c r="I151" s="196"/>
      <c r="J151" s="73">
        <v>173.43169499999999</v>
      </c>
      <c r="K151" s="25">
        <v>27.971270000000001</v>
      </c>
    </row>
    <row r="152" spans="1:11">
      <c r="A152" s="63">
        <v>162</v>
      </c>
      <c r="B152" s="235"/>
      <c r="C152" s="238"/>
      <c r="D152" s="235"/>
      <c r="E152" s="241"/>
      <c r="F152" s="192" t="s">
        <v>56</v>
      </c>
      <c r="G152" s="196"/>
      <c r="H152" s="26" t="s">
        <v>185</v>
      </c>
      <c r="I152" s="196"/>
      <c r="J152" s="73">
        <v>181.62604999999999</v>
      </c>
      <c r="K152" s="25">
        <v>28.018630000000002</v>
      </c>
    </row>
    <row r="153" spans="1:11">
      <c r="A153" s="46">
        <v>163</v>
      </c>
      <c r="B153" s="235"/>
      <c r="C153" s="238"/>
      <c r="D153" s="235"/>
      <c r="E153" s="241"/>
      <c r="F153" s="193" t="s">
        <v>59</v>
      </c>
      <c r="G153" s="196"/>
      <c r="H153" s="29" t="s">
        <v>183</v>
      </c>
      <c r="I153" s="196"/>
      <c r="J153" s="74">
        <v>289.92750999999998</v>
      </c>
      <c r="K153" s="24">
        <v>36.40502</v>
      </c>
    </row>
    <row r="154" spans="1:11">
      <c r="A154" s="46">
        <v>164</v>
      </c>
      <c r="B154" s="235"/>
      <c r="C154" s="238"/>
      <c r="D154" s="235"/>
      <c r="E154" s="241"/>
      <c r="F154" s="193" t="s">
        <v>59</v>
      </c>
      <c r="G154" s="196"/>
      <c r="H154" s="29" t="s">
        <v>184</v>
      </c>
      <c r="I154" s="196"/>
      <c r="J154" s="74">
        <v>293.63165099999998</v>
      </c>
      <c r="K154" s="24">
        <v>36.429443999999997</v>
      </c>
    </row>
    <row r="155" spans="1:11">
      <c r="A155" s="47">
        <v>165</v>
      </c>
      <c r="B155" s="236"/>
      <c r="C155" s="239"/>
      <c r="D155" s="236"/>
      <c r="E155" s="242"/>
      <c r="F155" s="194" t="s">
        <v>59</v>
      </c>
      <c r="G155" s="197"/>
      <c r="H155" s="30" t="s">
        <v>185</v>
      </c>
      <c r="I155" s="197"/>
      <c r="J155" s="75">
        <v>307.97423700000002</v>
      </c>
      <c r="K155" s="31">
        <v>36.524842</v>
      </c>
    </row>
    <row r="156" spans="1:11">
      <c r="A156" s="62">
        <v>166</v>
      </c>
      <c r="B156" s="235" t="s">
        <v>32</v>
      </c>
      <c r="C156" s="238" t="s">
        <v>20</v>
      </c>
      <c r="D156" s="203" t="s">
        <v>24</v>
      </c>
      <c r="E156" s="241" t="s">
        <v>18</v>
      </c>
      <c r="F156" s="189" t="s">
        <v>53</v>
      </c>
      <c r="G156" s="196" t="s">
        <v>186</v>
      </c>
      <c r="H156" s="28" t="s">
        <v>187</v>
      </c>
      <c r="I156" s="196">
        <v>5000</v>
      </c>
      <c r="J156" s="72">
        <v>96.491574</v>
      </c>
      <c r="K156" s="188">
        <v>20.944565000000001</v>
      </c>
    </row>
    <row r="157" spans="1:11">
      <c r="A157" s="62">
        <v>167</v>
      </c>
      <c r="B157" s="235"/>
      <c r="C157" s="238"/>
      <c r="D157" s="235"/>
      <c r="E157" s="241"/>
      <c r="F157" s="189" t="s">
        <v>53</v>
      </c>
      <c r="G157" s="196"/>
      <c r="H157" s="28" t="s">
        <v>188</v>
      </c>
      <c r="I157" s="196"/>
      <c r="J157" s="72">
        <v>96.637224000000003</v>
      </c>
      <c r="K157" s="188">
        <v>20.945474999999998</v>
      </c>
    </row>
    <row r="158" spans="1:11">
      <c r="A158" s="62">
        <v>168</v>
      </c>
      <c r="B158" s="235"/>
      <c r="C158" s="238"/>
      <c r="D158" s="235"/>
      <c r="E158" s="241"/>
      <c r="F158" s="189" t="s">
        <v>53</v>
      </c>
      <c r="G158" s="196"/>
      <c r="H158" s="28" t="s">
        <v>189</v>
      </c>
      <c r="I158" s="196"/>
      <c r="J158" s="72">
        <v>97.217318000000006</v>
      </c>
      <c r="K158" s="188">
        <v>20.949100000000001</v>
      </c>
    </row>
    <row r="159" spans="1:11">
      <c r="A159" s="63">
        <v>169</v>
      </c>
      <c r="B159" s="235"/>
      <c r="C159" s="238"/>
      <c r="D159" s="235"/>
      <c r="E159" s="241"/>
      <c r="F159" s="192" t="s">
        <v>56</v>
      </c>
      <c r="G159" s="196"/>
      <c r="H159" s="26" t="s">
        <v>187</v>
      </c>
      <c r="I159" s="196"/>
      <c r="J159" s="73">
        <v>412.72670699999998</v>
      </c>
      <c r="K159" s="25">
        <v>29.455945</v>
      </c>
    </row>
    <row r="160" spans="1:11">
      <c r="A160" s="63">
        <v>170</v>
      </c>
      <c r="B160" s="235"/>
      <c r="C160" s="238"/>
      <c r="D160" s="235"/>
      <c r="E160" s="241"/>
      <c r="F160" s="192" t="s">
        <v>56</v>
      </c>
      <c r="G160" s="196"/>
      <c r="H160" s="26" t="s">
        <v>188</v>
      </c>
      <c r="I160" s="196"/>
      <c r="J160" s="73">
        <v>413.57896499999998</v>
      </c>
      <c r="K160" s="25">
        <v>29.461822999999999</v>
      </c>
    </row>
    <row r="161" spans="1:11">
      <c r="A161" s="63">
        <v>171</v>
      </c>
      <c r="B161" s="235"/>
      <c r="C161" s="238"/>
      <c r="D161" s="235"/>
      <c r="E161" s="241"/>
      <c r="F161" s="192" t="s">
        <v>56</v>
      </c>
      <c r="G161" s="196"/>
      <c r="H161" s="26" t="s">
        <v>189</v>
      </c>
      <c r="I161" s="196"/>
      <c r="J161" s="73">
        <v>416.97029300000003</v>
      </c>
      <c r="K161" s="25">
        <v>29.485239</v>
      </c>
    </row>
    <row r="162" spans="1:11">
      <c r="A162" s="46">
        <v>172</v>
      </c>
      <c r="B162" s="235"/>
      <c r="C162" s="238"/>
      <c r="D162" s="235"/>
      <c r="E162" s="241"/>
      <c r="F162" s="193" t="s">
        <v>59</v>
      </c>
      <c r="G162" s="196"/>
      <c r="H162" s="29" t="s">
        <v>187</v>
      </c>
      <c r="I162" s="196"/>
      <c r="J162" s="74">
        <v>709.17550600000004</v>
      </c>
      <c r="K162" s="24">
        <v>39.805995000000003</v>
      </c>
    </row>
    <row r="163" spans="1:11">
      <c r="A163" s="46">
        <v>173</v>
      </c>
      <c r="B163" s="235"/>
      <c r="C163" s="238"/>
      <c r="D163" s="235"/>
      <c r="E163" s="241"/>
      <c r="F163" s="193" t="s">
        <v>59</v>
      </c>
      <c r="G163" s="196"/>
      <c r="H163" s="29" t="s">
        <v>188</v>
      </c>
      <c r="I163" s="196"/>
      <c r="J163" s="74">
        <v>710.632384</v>
      </c>
      <c r="K163" s="24">
        <v>39.818606000000003</v>
      </c>
    </row>
    <row r="164" spans="1:11">
      <c r="A164" s="47">
        <v>174</v>
      </c>
      <c r="B164" s="236"/>
      <c r="C164" s="239"/>
      <c r="D164" s="235"/>
      <c r="E164" s="242"/>
      <c r="F164" s="186" t="s">
        <v>59</v>
      </c>
      <c r="G164" s="203"/>
      <c r="H164" s="43" t="s">
        <v>189</v>
      </c>
      <c r="I164" s="203"/>
      <c r="J164" s="76">
        <v>716.42920000000004</v>
      </c>
      <c r="K164" s="44">
        <v>39.868834999999997</v>
      </c>
    </row>
    <row r="165" spans="1:11">
      <c r="A165" s="61">
        <v>175</v>
      </c>
      <c r="B165" s="234" t="s">
        <v>36</v>
      </c>
      <c r="C165" s="234" t="s">
        <v>25</v>
      </c>
      <c r="D165" s="195" t="s">
        <v>24</v>
      </c>
      <c r="E165" s="246" t="s">
        <v>18</v>
      </c>
      <c r="F165" s="187" t="s">
        <v>64</v>
      </c>
      <c r="G165" s="195" t="s">
        <v>190</v>
      </c>
      <c r="H165" s="27" t="s">
        <v>191</v>
      </c>
      <c r="I165" s="195">
        <v>6000</v>
      </c>
      <c r="J165" s="77">
        <v>244.42184900000001</v>
      </c>
      <c r="K165" s="27">
        <v>34.989024999999998</v>
      </c>
    </row>
    <row r="166" spans="1:11">
      <c r="A166" s="62">
        <v>176</v>
      </c>
      <c r="B166" s="235"/>
      <c r="C166" s="235"/>
      <c r="D166" s="196"/>
      <c r="E166" s="241"/>
      <c r="F166" s="189" t="s">
        <v>64</v>
      </c>
      <c r="G166" s="196"/>
      <c r="H166" s="28" t="s">
        <v>192</v>
      </c>
      <c r="I166" s="196"/>
      <c r="J166" s="78">
        <v>246.60966400000001</v>
      </c>
      <c r="K166" s="28">
        <v>35.038342</v>
      </c>
    </row>
    <row r="167" spans="1:11">
      <c r="A167" s="62">
        <v>177</v>
      </c>
      <c r="B167" s="235"/>
      <c r="C167" s="235"/>
      <c r="D167" s="196"/>
      <c r="E167" s="241"/>
      <c r="F167" s="189" t="s">
        <v>64</v>
      </c>
      <c r="G167" s="196"/>
      <c r="H167" s="28" t="s">
        <v>193</v>
      </c>
      <c r="I167" s="196"/>
      <c r="J167" s="78">
        <v>250.92734300000001</v>
      </c>
      <c r="K167" s="28">
        <v>35.135865000000003</v>
      </c>
    </row>
    <row r="168" spans="1:11">
      <c r="A168" s="62">
        <v>178</v>
      </c>
      <c r="B168" s="235"/>
      <c r="C168" s="235"/>
      <c r="D168" s="196"/>
      <c r="E168" s="241"/>
      <c r="F168" s="189" t="s">
        <v>64</v>
      </c>
      <c r="G168" s="196"/>
      <c r="H168" s="28" t="s">
        <v>194</v>
      </c>
      <c r="I168" s="196"/>
      <c r="J168" s="78">
        <v>255.171055</v>
      </c>
      <c r="K168" s="28">
        <v>35.231962000000003</v>
      </c>
    </row>
    <row r="169" spans="1:11">
      <c r="A169" s="62">
        <v>179</v>
      </c>
      <c r="B169" s="235"/>
      <c r="C169" s="235"/>
      <c r="D169" s="196"/>
      <c r="E169" s="241"/>
      <c r="F169" s="189" t="s">
        <v>64</v>
      </c>
      <c r="G169" s="196"/>
      <c r="H169" s="28" t="s">
        <v>195</v>
      </c>
      <c r="I169" s="196"/>
      <c r="J169" s="78">
        <v>263.45097399999997</v>
      </c>
      <c r="K169" s="28">
        <v>35.420132000000002</v>
      </c>
    </row>
    <row r="170" spans="1:11">
      <c r="A170" s="63">
        <v>180</v>
      </c>
      <c r="B170" s="235"/>
      <c r="C170" s="235"/>
      <c r="D170" s="196"/>
      <c r="E170" s="241"/>
      <c r="F170" s="192" t="s">
        <v>71</v>
      </c>
      <c r="G170" s="196"/>
      <c r="H170" s="26" t="s">
        <v>191</v>
      </c>
      <c r="I170" s="196"/>
      <c r="J170" s="79">
        <v>249.433075</v>
      </c>
      <c r="K170" s="26">
        <v>37.207127</v>
      </c>
    </row>
    <row r="171" spans="1:11">
      <c r="A171" s="63">
        <v>181</v>
      </c>
      <c r="B171" s="235"/>
      <c r="C171" s="235"/>
      <c r="D171" s="196"/>
      <c r="E171" s="241"/>
      <c r="F171" s="192" t="s">
        <v>71</v>
      </c>
      <c r="G171" s="196"/>
      <c r="H171" s="26" t="s">
        <v>192</v>
      </c>
      <c r="I171" s="196"/>
      <c r="J171" s="79">
        <v>251.67016599999999</v>
      </c>
      <c r="K171" s="26">
        <v>37.273778999999998</v>
      </c>
    </row>
    <row r="172" spans="1:11">
      <c r="A172" s="63">
        <v>182</v>
      </c>
      <c r="B172" s="235"/>
      <c r="C172" s="235"/>
      <c r="D172" s="196"/>
      <c r="E172" s="241"/>
      <c r="F172" s="192" t="s">
        <v>71</v>
      </c>
      <c r="G172" s="196"/>
      <c r="H172" s="26" t="s">
        <v>193</v>
      </c>
      <c r="I172" s="196"/>
      <c r="J172" s="79">
        <v>256.08504799999997</v>
      </c>
      <c r="K172" s="26">
        <v>37.405506000000003</v>
      </c>
    </row>
    <row r="173" spans="1:11">
      <c r="A173" s="63">
        <v>183</v>
      </c>
      <c r="B173" s="235"/>
      <c r="C173" s="235"/>
      <c r="D173" s="196"/>
      <c r="E173" s="241"/>
      <c r="F173" s="192" t="s">
        <v>71</v>
      </c>
      <c r="G173" s="196"/>
      <c r="H173" s="26" t="s">
        <v>194</v>
      </c>
      <c r="I173" s="196"/>
      <c r="J173" s="79">
        <v>260.42424099999999</v>
      </c>
      <c r="K173" s="26">
        <v>37.535212000000001</v>
      </c>
    </row>
    <row r="174" spans="1:11">
      <c r="A174" s="63">
        <v>184</v>
      </c>
      <c r="B174" s="235"/>
      <c r="C174" s="235"/>
      <c r="D174" s="196"/>
      <c r="E174" s="241"/>
      <c r="F174" s="192" t="s">
        <v>71</v>
      </c>
      <c r="G174" s="196"/>
      <c r="H174" s="26" t="s">
        <v>195</v>
      </c>
      <c r="I174" s="196"/>
      <c r="J174" s="79">
        <v>268.89030700000001</v>
      </c>
      <c r="K174" s="79">
        <v>37.788919999999997</v>
      </c>
    </row>
    <row r="175" spans="1:11">
      <c r="A175" s="46">
        <v>185</v>
      </c>
      <c r="B175" s="235"/>
      <c r="C175" s="235"/>
      <c r="D175" s="196"/>
      <c r="E175" s="241"/>
      <c r="F175" s="192" t="s">
        <v>78</v>
      </c>
      <c r="G175" s="196"/>
      <c r="H175" s="29" t="s">
        <v>191</v>
      </c>
      <c r="I175" s="196"/>
      <c r="J175" s="80">
        <v>269.05437699999999</v>
      </c>
      <c r="K175" s="29">
        <v>36.587891999999997</v>
      </c>
    </row>
    <row r="176" spans="1:11">
      <c r="A176" s="46">
        <v>186</v>
      </c>
      <c r="B176" s="235"/>
      <c r="C176" s="235"/>
      <c r="D176" s="196"/>
      <c r="E176" s="241"/>
      <c r="F176" s="192" t="s">
        <v>78</v>
      </c>
      <c r="G176" s="196"/>
      <c r="H176" s="29" t="s">
        <v>192</v>
      </c>
      <c r="I176" s="196"/>
      <c r="J176" s="80">
        <v>271.47046399999999</v>
      </c>
      <c r="K176" s="29">
        <v>36.640191000000002</v>
      </c>
    </row>
    <row r="177" spans="1:11">
      <c r="A177" s="46">
        <v>187</v>
      </c>
      <c r="B177" s="235"/>
      <c r="C177" s="235"/>
      <c r="D177" s="196"/>
      <c r="E177" s="241"/>
      <c r="F177" s="192" t="s">
        <v>78</v>
      </c>
      <c r="G177" s="196"/>
      <c r="H177" s="29" t="s">
        <v>193</v>
      </c>
      <c r="I177" s="196"/>
      <c r="J177" s="80">
        <v>276.238697</v>
      </c>
      <c r="K177" s="29">
        <v>36.743606</v>
      </c>
    </row>
    <row r="178" spans="1:11">
      <c r="A178" s="46">
        <v>188</v>
      </c>
      <c r="B178" s="235"/>
      <c r="C178" s="235"/>
      <c r="D178" s="196"/>
      <c r="E178" s="241"/>
      <c r="F178" s="192" t="s">
        <v>78</v>
      </c>
      <c r="G178" s="196"/>
      <c r="H178" s="29" t="s">
        <v>194</v>
      </c>
      <c r="I178" s="196"/>
      <c r="J178" s="80">
        <v>280.92531600000001</v>
      </c>
      <c r="K178" s="29">
        <v>36.845505000000003</v>
      </c>
    </row>
    <row r="179" spans="1:11">
      <c r="A179" s="47">
        <v>189</v>
      </c>
      <c r="B179" s="236"/>
      <c r="C179" s="236"/>
      <c r="D179" s="197"/>
      <c r="E179" s="242"/>
      <c r="F179" s="45" t="s">
        <v>78</v>
      </c>
      <c r="G179" s="197"/>
      <c r="H179" s="30" t="s">
        <v>195</v>
      </c>
      <c r="I179" s="197"/>
      <c r="J179" s="81">
        <v>290.06958300000002</v>
      </c>
      <c r="K179" s="30">
        <v>37.045026</v>
      </c>
    </row>
    <row r="180" spans="1:11">
      <c r="B180" s="185"/>
      <c r="C180" s="185"/>
      <c r="D180" s="185"/>
      <c r="G180" s="185"/>
      <c r="I180" s="185"/>
    </row>
    <row r="181" spans="1:11">
      <c r="B181" s="185"/>
      <c r="C181" s="185"/>
      <c r="D181" s="185"/>
      <c r="G181" s="185"/>
      <c r="I181" s="185"/>
    </row>
    <row r="182" spans="1:11">
      <c r="B182" s="185"/>
      <c r="C182" s="185"/>
      <c r="D182" s="185"/>
      <c r="G182" s="185"/>
      <c r="I182" s="185"/>
    </row>
    <row r="183" spans="1:11">
      <c r="B183" s="185"/>
      <c r="C183" s="185"/>
      <c r="D183" s="185"/>
      <c r="G183" s="185"/>
      <c r="I183" s="185"/>
      <c r="K183" s="71"/>
    </row>
    <row r="184" spans="1:11">
      <c r="B184" s="185"/>
      <c r="C184" s="185"/>
      <c r="D184" s="185"/>
      <c r="G184" s="185"/>
      <c r="I184" s="185"/>
      <c r="K184" s="71"/>
    </row>
    <row r="185" spans="1:11">
      <c r="B185" s="185"/>
      <c r="C185" s="185"/>
      <c r="D185" s="185"/>
      <c r="G185" s="185"/>
      <c r="I185" s="185"/>
      <c r="K185" s="71"/>
    </row>
    <row r="186" spans="1:11">
      <c r="B186" s="185"/>
      <c r="C186" s="185"/>
      <c r="D186" s="185"/>
      <c r="G186" s="185"/>
      <c r="I186" s="185"/>
      <c r="K186" s="71"/>
    </row>
    <row r="187" spans="1:11">
      <c r="B187" s="185"/>
      <c r="C187" s="185"/>
      <c r="D187" s="185"/>
      <c r="G187" s="185"/>
      <c r="I187" s="185"/>
      <c r="K187" s="71"/>
    </row>
    <row r="188" spans="1:11">
      <c r="B188" s="185"/>
      <c r="C188" s="185"/>
      <c r="D188" s="185"/>
      <c r="G188" s="185"/>
      <c r="I188" s="185"/>
    </row>
    <row r="189" spans="1:11">
      <c r="B189" s="185"/>
      <c r="C189" s="185"/>
      <c r="D189" s="185"/>
      <c r="G189" s="185"/>
      <c r="I189" s="185"/>
    </row>
    <row r="190" spans="1:11">
      <c r="B190" s="185"/>
      <c r="C190" s="185"/>
      <c r="D190" s="185"/>
      <c r="G190" s="185"/>
      <c r="I190" s="185"/>
    </row>
    <row r="191" spans="1:11">
      <c r="B191" s="185"/>
      <c r="C191" s="185"/>
      <c r="D191" s="185"/>
      <c r="G191" s="185"/>
      <c r="I191" s="185"/>
    </row>
    <row r="192" spans="1:11">
      <c r="B192" s="185"/>
      <c r="C192" s="185"/>
      <c r="D192" s="185"/>
      <c r="G192" s="185"/>
      <c r="I192" s="185"/>
    </row>
    <row r="193" spans="2:9">
      <c r="B193" s="185"/>
      <c r="C193" s="185"/>
      <c r="D193" s="185"/>
      <c r="G193" s="185"/>
      <c r="I193" s="185"/>
    </row>
    <row r="194" spans="2:9">
      <c r="B194" s="185"/>
      <c r="C194" s="185"/>
      <c r="D194" s="185"/>
      <c r="G194" s="185"/>
      <c r="I194" s="185"/>
    </row>
    <row r="195" spans="2:9">
      <c r="B195" s="185"/>
      <c r="C195" s="185"/>
      <c r="D195" s="185"/>
      <c r="G195" s="185"/>
      <c r="I195" s="185"/>
    </row>
    <row r="196" spans="2:9">
      <c r="B196" s="185"/>
      <c r="C196" s="185"/>
      <c r="D196" s="185"/>
      <c r="G196" s="185"/>
      <c r="I196" s="185"/>
    </row>
    <row r="197" spans="2:9">
      <c r="B197" s="185"/>
      <c r="C197" s="185"/>
      <c r="D197" s="185"/>
      <c r="G197" s="185"/>
      <c r="I197" s="185"/>
    </row>
    <row r="198" spans="2:9">
      <c r="B198" s="185"/>
      <c r="C198" s="185"/>
      <c r="D198" s="185"/>
      <c r="G198" s="185"/>
      <c r="I198" s="185"/>
    </row>
    <row r="199" spans="2:9">
      <c r="B199" s="185"/>
      <c r="C199" s="185"/>
      <c r="D199" s="185"/>
      <c r="G199" s="185"/>
      <c r="I199" s="185"/>
    </row>
    <row r="200" spans="2:9">
      <c r="B200" s="185"/>
      <c r="C200" s="185"/>
      <c r="D200" s="185"/>
      <c r="G200" s="185"/>
      <c r="I200" s="185"/>
    </row>
    <row r="201" spans="2:9">
      <c r="B201" s="185"/>
      <c r="C201" s="185"/>
      <c r="D201" s="185"/>
      <c r="G201" s="185"/>
      <c r="I201" s="185"/>
    </row>
    <row r="202" spans="2:9">
      <c r="B202" s="185"/>
      <c r="C202" s="185"/>
      <c r="D202" s="185"/>
      <c r="G202" s="185"/>
      <c r="I202" s="185"/>
    </row>
    <row r="203" spans="2:9">
      <c r="B203" s="185"/>
      <c r="C203" s="185"/>
      <c r="D203" s="185"/>
      <c r="G203" s="185"/>
      <c r="I203" s="185"/>
    </row>
    <row r="204" spans="2:9">
      <c r="B204" s="185"/>
      <c r="C204" s="185"/>
      <c r="D204" s="185"/>
      <c r="G204" s="185"/>
      <c r="I204" s="185"/>
    </row>
    <row r="205" spans="2:9">
      <c r="B205" s="185"/>
      <c r="C205" s="185"/>
      <c r="D205" s="185"/>
      <c r="G205" s="185"/>
      <c r="I205" s="185"/>
    </row>
    <row r="206" spans="2:9">
      <c r="B206" s="185"/>
      <c r="C206" s="185"/>
      <c r="D206" s="185"/>
      <c r="G206" s="185"/>
      <c r="I206" s="185"/>
    </row>
    <row r="207" spans="2:9">
      <c r="B207" s="185"/>
      <c r="C207" s="185"/>
      <c r="D207" s="185"/>
      <c r="G207" s="185"/>
      <c r="I207" s="185"/>
    </row>
    <row r="208" spans="2:9">
      <c r="B208" s="185"/>
      <c r="C208" s="185"/>
      <c r="D208" s="185"/>
      <c r="G208" s="185"/>
      <c r="I208" s="185"/>
    </row>
    <row r="209" spans="2:9">
      <c r="B209" s="185"/>
      <c r="C209" s="185"/>
      <c r="D209" s="185"/>
      <c r="G209" s="185"/>
      <c r="I209" s="185"/>
    </row>
    <row r="210" spans="2:9">
      <c r="B210" s="185"/>
      <c r="C210" s="185"/>
      <c r="D210" s="185"/>
      <c r="G210" s="185"/>
      <c r="I210" s="185"/>
    </row>
    <row r="211" spans="2:9">
      <c r="B211" s="185"/>
      <c r="C211" s="185"/>
      <c r="D211" s="185"/>
      <c r="G211" s="185"/>
      <c r="I211" s="185"/>
    </row>
    <row r="212" spans="2:9">
      <c r="B212" s="185"/>
      <c r="C212" s="185"/>
      <c r="D212" s="185"/>
      <c r="G212" s="185"/>
      <c r="I212" s="185"/>
    </row>
    <row r="213" spans="2:9">
      <c r="B213" s="185"/>
      <c r="C213" s="185"/>
      <c r="D213" s="185"/>
      <c r="G213" s="185"/>
      <c r="I213" s="185"/>
    </row>
    <row r="214" spans="2:9">
      <c r="B214" s="185"/>
      <c r="C214" s="185"/>
      <c r="D214" s="185"/>
      <c r="G214" s="185"/>
      <c r="I214" s="185"/>
    </row>
    <row r="215" spans="2:9">
      <c r="B215" s="185"/>
      <c r="C215" s="185"/>
      <c r="D215" s="185"/>
      <c r="G215" s="185"/>
      <c r="I215" s="185"/>
    </row>
    <row r="216" spans="2:9">
      <c r="B216" s="185"/>
      <c r="C216" s="185"/>
      <c r="D216" s="185"/>
      <c r="G216" s="185"/>
      <c r="I216" s="185"/>
    </row>
    <row r="217" spans="2:9">
      <c r="B217" s="185"/>
      <c r="C217" s="185"/>
      <c r="D217" s="185"/>
      <c r="G217" s="185"/>
      <c r="I217" s="185"/>
    </row>
    <row r="218" spans="2:9">
      <c r="B218" s="185"/>
      <c r="C218" s="185"/>
      <c r="D218" s="185"/>
      <c r="G218" s="185"/>
      <c r="I218" s="185"/>
    </row>
    <row r="219" spans="2:9">
      <c r="B219" s="185"/>
      <c r="C219" s="185"/>
      <c r="D219" s="185"/>
      <c r="G219" s="185"/>
      <c r="I219" s="185"/>
    </row>
    <row r="220" spans="2:9">
      <c r="B220" s="185"/>
      <c r="C220" s="185"/>
      <c r="D220" s="185"/>
      <c r="G220" s="185"/>
      <c r="I220" s="185"/>
    </row>
    <row r="221" spans="2:9">
      <c r="B221" s="185"/>
      <c r="C221" s="185"/>
      <c r="D221" s="185"/>
      <c r="G221" s="185"/>
      <c r="I221" s="185"/>
    </row>
    <row r="222" spans="2:9">
      <c r="B222" s="185"/>
      <c r="C222" s="185"/>
      <c r="D222" s="185"/>
      <c r="G222" s="185"/>
      <c r="I222" s="185"/>
    </row>
    <row r="223" spans="2:9">
      <c r="B223" s="185"/>
      <c r="C223" s="185"/>
      <c r="D223" s="185"/>
      <c r="G223" s="185"/>
      <c r="I223" s="185"/>
    </row>
    <row r="224" spans="2:9">
      <c r="B224" s="185"/>
      <c r="C224" s="185"/>
      <c r="D224" s="185"/>
      <c r="G224" s="185"/>
      <c r="I224" s="185"/>
    </row>
    <row r="225" spans="2:9">
      <c r="B225" s="185"/>
      <c r="C225" s="185"/>
      <c r="D225" s="185"/>
      <c r="G225" s="185"/>
      <c r="I225" s="185"/>
    </row>
    <row r="226" spans="2:9">
      <c r="B226" s="185"/>
      <c r="C226" s="185"/>
      <c r="D226" s="185"/>
      <c r="G226" s="185"/>
      <c r="I226" s="185"/>
    </row>
    <row r="227" spans="2:9">
      <c r="B227" s="185"/>
      <c r="C227" s="185"/>
      <c r="D227" s="185"/>
      <c r="G227" s="185"/>
      <c r="I227" s="185"/>
    </row>
    <row r="228" spans="2:9">
      <c r="B228" s="185"/>
      <c r="C228" s="185"/>
      <c r="D228" s="185"/>
      <c r="G228" s="185"/>
      <c r="I228" s="185"/>
    </row>
    <row r="229" spans="2:9">
      <c r="B229" s="185"/>
      <c r="C229" s="185"/>
      <c r="D229" s="185"/>
      <c r="G229" s="185"/>
      <c r="I229" s="185"/>
    </row>
    <row r="230" spans="2:9">
      <c r="B230" s="185"/>
      <c r="C230" s="185"/>
      <c r="D230" s="185"/>
      <c r="G230" s="185"/>
      <c r="I230" s="185"/>
    </row>
    <row r="231" spans="2:9">
      <c r="B231" s="185"/>
      <c r="C231" s="185"/>
      <c r="D231" s="185"/>
      <c r="G231" s="185"/>
      <c r="I231" s="185"/>
    </row>
    <row r="232" spans="2:9">
      <c r="B232" s="185"/>
      <c r="C232" s="185"/>
      <c r="D232" s="185"/>
      <c r="G232" s="185"/>
      <c r="I232" s="185"/>
    </row>
    <row r="233" spans="2:9">
      <c r="B233" s="185"/>
      <c r="C233" s="185"/>
      <c r="D233" s="185"/>
      <c r="G233" s="185"/>
      <c r="I233" s="185"/>
    </row>
    <row r="234" spans="2:9">
      <c r="B234" s="185"/>
      <c r="C234" s="185"/>
      <c r="D234" s="185"/>
      <c r="G234" s="185"/>
      <c r="I234" s="185"/>
    </row>
    <row r="235" spans="2:9">
      <c r="B235" s="185"/>
      <c r="C235" s="185"/>
      <c r="D235" s="185"/>
      <c r="G235" s="185"/>
      <c r="I235" s="185"/>
    </row>
    <row r="236" spans="2:9">
      <c r="B236" s="185"/>
      <c r="C236" s="185"/>
      <c r="D236" s="185"/>
      <c r="G236" s="185"/>
      <c r="I236" s="185"/>
    </row>
    <row r="237" spans="2:9">
      <c r="B237" s="185"/>
      <c r="C237" s="185"/>
      <c r="D237" s="185"/>
      <c r="G237" s="185"/>
      <c r="I237" s="185"/>
    </row>
    <row r="238" spans="2:9">
      <c r="B238" s="185"/>
      <c r="C238" s="185"/>
      <c r="D238" s="185"/>
      <c r="G238" s="185"/>
      <c r="I238" s="185"/>
    </row>
    <row r="239" spans="2:9">
      <c r="B239" s="185"/>
      <c r="C239" s="185"/>
      <c r="D239" s="185"/>
      <c r="G239" s="185"/>
      <c r="I239" s="185"/>
    </row>
    <row r="240" spans="2:9">
      <c r="B240" s="185"/>
      <c r="C240" s="185"/>
      <c r="D240" s="185"/>
      <c r="G240" s="185"/>
      <c r="I240" s="185"/>
    </row>
    <row r="241" spans="2:9">
      <c r="B241" s="185"/>
      <c r="C241" s="185"/>
      <c r="D241" s="185"/>
      <c r="G241" s="185"/>
      <c r="I241" s="185"/>
    </row>
    <row r="242" spans="2:9">
      <c r="B242" s="185"/>
      <c r="C242" s="185"/>
      <c r="D242" s="185"/>
      <c r="G242" s="185"/>
      <c r="I242" s="185"/>
    </row>
    <row r="243" spans="2:9">
      <c r="B243" s="185"/>
      <c r="C243" s="185"/>
      <c r="D243" s="185"/>
      <c r="G243" s="185"/>
      <c r="I243" s="185"/>
    </row>
    <row r="244" spans="2:9">
      <c r="B244" s="185"/>
      <c r="C244" s="185"/>
      <c r="D244" s="185"/>
      <c r="G244" s="185"/>
      <c r="I244" s="185"/>
    </row>
    <row r="245" spans="2:9">
      <c r="B245" s="185"/>
      <c r="C245" s="185"/>
      <c r="D245" s="185"/>
      <c r="G245" s="185"/>
      <c r="I245" s="185"/>
    </row>
    <row r="246" spans="2:9">
      <c r="B246" s="185"/>
      <c r="C246" s="185"/>
      <c r="D246" s="185"/>
      <c r="G246" s="185"/>
      <c r="I246" s="185"/>
    </row>
    <row r="247" spans="2:9">
      <c r="B247" s="185"/>
      <c r="C247" s="185"/>
      <c r="D247" s="185"/>
      <c r="G247" s="185"/>
      <c r="I247" s="185"/>
    </row>
    <row r="248" spans="2:9">
      <c r="B248" s="185"/>
      <c r="C248" s="185"/>
      <c r="D248" s="185"/>
      <c r="G248" s="185"/>
      <c r="I248" s="185"/>
    </row>
    <row r="249" spans="2:9">
      <c r="B249" s="185"/>
      <c r="C249" s="185"/>
      <c r="D249" s="185"/>
      <c r="G249" s="185"/>
      <c r="I249" s="185"/>
    </row>
    <row r="250" spans="2:9">
      <c r="B250" s="185"/>
      <c r="C250" s="185"/>
      <c r="D250" s="185"/>
      <c r="G250" s="185"/>
      <c r="I250" s="185"/>
    </row>
    <row r="251" spans="2:9">
      <c r="B251" s="185"/>
      <c r="C251" s="185"/>
      <c r="D251" s="185"/>
      <c r="G251" s="185"/>
      <c r="I251" s="185"/>
    </row>
    <row r="252" spans="2:9">
      <c r="B252" s="185"/>
      <c r="C252" s="185"/>
      <c r="D252" s="185"/>
      <c r="G252" s="185"/>
      <c r="I252" s="185"/>
    </row>
    <row r="253" spans="2:9">
      <c r="B253" s="185"/>
      <c r="C253" s="185"/>
      <c r="D253" s="185"/>
      <c r="G253" s="185"/>
      <c r="I253" s="185"/>
    </row>
    <row r="254" spans="2:9">
      <c r="B254" s="185"/>
      <c r="C254" s="185"/>
      <c r="D254" s="185"/>
      <c r="G254" s="185"/>
      <c r="I254" s="185"/>
    </row>
    <row r="255" spans="2:9">
      <c r="B255" s="185"/>
      <c r="C255" s="185"/>
      <c r="D255" s="185"/>
      <c r="G255" s="185"/>
      <c r="I255" s="185"/>
    </row>
    <row r="256" spans="2:9">
      <c r="B256" s="185"/>
      <c r="C256" s="185"/>
      <c r="D256" s="185"/>
      <c r="G256" s="185"/>
      <c r="I256" s="185"/>
    </row>
    <row r="257" spans="2:9">
      <c r="B257" s="185"/>
      <c r="C257" s="185"/>
      <c r="D257" s="185"/>
      <c r="G257" s="185"/>
      <c r="I257" s="185"/>
    </row>
    <row r="258" spans="2:9">
      <c r="B258" s="185"/>
      <c r="C258" s="185"/>
      <c r="D258" s="185"/>
      <c r="G258" s="185"/>
      <c r="I258" s="185"/>
    </row>
    <row r="259" spans="2:9">
      <c r="B259" s="185"/>
      <c r="C259" s="185"/>
      <c r="D259" s="185"/>
      <c r="G259" s="185"/>
      <c r="I259" s="185"/>
    </row>
    <row r="260" spans="2:9">
      <c r="B260" s="185"/>
      <c r="C260" s="185"/>
      <c r="D260" s="185"/>
      <c r="G260" s="185"/>
      <c r="I260" s="185"/>
    </row>
    <row r="261" spans="2:9">
      <c r="B261" s="185"/>
      <c r="C261" s="185"/>
      <c r="D261" s="185"/>
      <c r="G261" s="185"/>
      <c r="I261" s="185"/>
    </row>
    <row r="262" spans="2:9">
      <c r="B262" s="185"/>
      <c r="C262" s="185"/>
      <c r="D262" s="185"/>
      <c r="G262" s="185"/>
      <c r="I262" s="185"/>
    </row>
    <row r="263" spans="2:9">
      <c r="B263" s="185"/>
      <c r="C263" s="185"/>
      <c r="D263" s="185"/>
      <c r="G263" s="185"/>
      <c r="I263" s="185"/>
    </row>
    <row r="266" spans="2:9">
      <c r="B266" s="185"/>
      <c r="C266" s="185"/>
      <c r="D266" s="185"/>
      <c r="G266" s="185"/>
      <c r="I266" s="185"/>
    </row>
    <row r="267" spans="2:9">
      <c r="B267" s="185"/>
      <c r="C267" s="185"/>
      <c r="D267" s="185"/>
      <c r="G267" s="185"/>
      <c r="I267" s="185"/>
    </row>
    <row r="268" spans="2:9">
      <c r="B268" s="185"/>
      <c r="C268" s="185"/>
      <c r="D268" s="185"/>
      <c r="G268" s="185"/>
      <c r="I268" s="185"/>
    </row>
    <row r="269" spans="2:9">
      <c r="B269" s="185"/>
      <c r="C269" s="185"/>
      <c r="D269" s="185"/>
      <c r="G269" s="185"/>
      <c r="I269" s="185"/>
    </row>
  </sheetData>
  <mergeCells count="123">
    <mergeCell ref="I84:I92"/>
    <mergeCell ref="I93:I101"/>
    <mergeCell ref="I102:I110"/>
    <mergeCell ref="I111:I119"/>
    <mergeCell ref="I120:I128"/>
    <mergeCell ref="F1:F2"/>
    <mergeCell ref="G3:G11"/>
    <mergeCell ref="G39:G47"/>
    <mergeCell ref="G12:G20"/>
    <mergeCell ref="I12:I20"/>
    <mergeCell ref="G21:G29"/>
    <mergeCell ref="I21:I29"/>
    <mergeCell ref="I66:I74"/>
    <mergeCell ref="I48:I56"/>
    <mergeCell ref="I3:I11"/>
    <mergeCell ref="I75:I83"/>
    <mergeCell ref="A1:A2"/>
    <mergeCell ref="B1:B2"/>
    <mergeCell ref="E1:E2"/>
    <mergeCell ref="G1:H1"/>
    <mergeCell ref="I1:I2"/>
    <mergeCell ref="C1:C2"/>
    <mergeCell ref="C3:C11"/>
    <mergeCell ref="D48:D56"/>
    <mergeCell ref="B57:B65"/>
    <mergeCell ref="C57:C65"/>
    <mergeCell ref="E57:E65"/>
    <mergeCell ref="G57:G65"/>
    <mergeCell ref="I57:I65"/>
    <mergeCell ref="D57:D65"/>
    <mergeCell ref="B48:B56"/>
    <mergeCell ref="C48:C56"/>
    <mergeCell ref="E48:E56"/>
    <mergeCell ref="G48:G56"/>
    <mergeCell ref="J1:K1"/>
    <mergeCell ref="B39:B47"/>
    <mergeCell ref="C39:C47"/>
    <mergeCell ref="E39:E47"/>
    <mergeCell ref="D39:D47"/>
    <mergeCell ref="D1:D2"/>
    <mergeCell ref="D3:D11"/>
    <mergeCell ref="E3:E11"/>
    <mergeCell ref="C12:C20"/>
    <mergeCell ref="E12:E20"/>
    <mergeCell ref="D12:D20"/>
    <mergeCell ref="C21:C29"/>
    <mergeCell ref="E21:E29"/>
    <mergeCell ref="B30:B38"/>
    <mergeCell ref="E30:E38"/>
    <mergeCell ref="G30:G38"/>
    <mergeCell ref="I30:I38"/>
    <mergeCell ref="D30:D38"/>
    <mergeCell ref="I39:I47"/>
    <mergeCell ref="B3:B11"/>
    <mergeCell ref="D21:D29"/>
    <mergeCell ref="C30:C38"/>
    <mergeCell ref="B12:B20"/>
    <mergeCell ref="B21:B29"/>
    <mergeCell ref="B75:B83"/>
    <mergeCell ref="C75:C83"/>
    <mergeCell ref="E75:E83"/>
    <mergeCell ref="G75:G83"/>
    <mergeCell ref="D75:D83"/>
    <mergeCell ref="B66:B74"/>
    <mergeCell ref="C66:C74"/>
    <mergeCell ref="E66:E74"/>
    <mergeCell ref="G66:G74"/>
    <mergeCell ref="D66:D74"/>
    <mergeCell ref="B93:B101"/>
    <mergeCell ref="C93:C101"/>
    <mergeCell ref="E93:E101"/>
    <mergeCell ref="G93:G101"/>
    <mergeCell ref="D93:D101"/>
    <mergeCell ref="B84:B92"/>
    <mergeCell ref="C84:C92"/>
    <mergeCell ref="E84:E92"/>
    <mergeCell ref="G84:G92"/>
    <mergeCell ref="D84:D92"/>
    <mergeCell ref="B111:B119"/>
    <mergeCell ref="C111:C119"/>
    <mergeCell ref="E111:E119"/>
    <mergeCell ref="G111:G119"/>
    <mergeCell ref="D111:D119"/>
    <mergeCell ref="B102:B110"/>
    <mergeCell ref="C102:C110"/>
    <mergeCell ref="E102:E110"/>
    <mergeCell ref="G102:G110"/>
    <mergeCell ref="D102:D110"/>
    <mergeCell ref="B120:B128"/>
    <mergeCell ref="C120:C128"/>
    <mergeCell ref="E120:E128"/>
    <mergeCell ref="G120:G128"/>
    <mergeCell ref="D120:D128"/>
    <mergeCell ref="B147:B155"/>
    <mergeCell ref="C147:C155"/>
    <mergeCell ref="E147:E155"/>
    <mergeCell ref="G147:G155"/>
    <mergeCell ref="D129:D137"/>
    <mergeCell ref="B138:B146"/>
    <mergeCell ref="C138:C146"/>
    <mergeCell ref="E138:E146"/>
    <mergeCell ref="G138:G146"/>
    <mergeCell ref="D138:D146"/>
    <mergeCell ref="I165:I179"/>
    <mergeCell ref="D165:D179"/>
    <mergeCell ref="E156:E164"/>
    <mergeCell ref="G156:G164"/>
    <mergeCell ref="I156:I164"/>
    <mergeCell ref="D156:D164"/>
    <mergeCell ref="B129:B137"/>
    <mergeCell ref="C129:C137"/>
    <mergeCell ref="E129:E137"/>
    <mergeCell ref="G129:G137"/>
    <mergeCell ref="E165:E179"/>
    <mergeCell ref="C165:C179"/>
    <mergeCell ref="B165:B179"/>
    <mergeCell ref="G165:G179"/>
    <mergeCell ref="I147:I155"/>
    <mergeCell ref="D147:D155"/>
    <mergeCell ref="B156:B164"/>
    <mergeCell ref="C156:C164"/>
    <mergeCell ref="I129:I137"/>
    <mergeCell ref="I138:I146"/>
  </mergeCells>
  <dataValidations count="1">
    <dataValidation allowBlank="1" showInputMessage="1" showErrorMessage="1" sqref="D1:D2" xr:uid="{9B5DAD60-14C6-4FC2-A2A1-65A2877D7F72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4252FE-55FA-4D7F-AB16-63361963CCF5}">
          <x14:formula1>
            <xm:f>'DATA - IKKE RØR'!$A$7:$A$9</xm:f>
          </x14:formula1>
          <xm:sqref>B165 B66 B3 B12 B21 B30 B39 B48 B57 B120 B75 B84 B93 B102 B111 B129 B138 B147 B156</xm:sqref>
        </x14:dataValidation>
        <x14:dataValidation type="list" allowBlank="1" showInputMessage="1" showErrorMessage="1" xr:uid="{31A96B32-6960-446E-A6EE-73054DE8FACE}">
          <x14:formula1>
            <xm:f>'DATA - IKKE RØR'!$A$3:$A$5</xm:f>
          </x14:formula1>
          <xm:sqref>C3:C165</xm:sqref>
        </x14:dataValidation>
        <x14:dataValidation type="list" allowBlank="1" showInputMessage="1" showErrorMessage="1" xr:uid="{0B90A1A5-0B12-431F-B0D5-712C3FDABEA7}">
          <x14:formula1>
            <xm:f>'DATA - IKKE RØR'!$A$11:$A$20</xm:f>
          </x14:formula1>
          <xm:sqref>F3:F179</xm:sqref>
        </x14:dataValidation>
        <x14:dataValidation type="list" allowBlank="1" showInputMessage="1" showErrorMessage="1" xr:uid="{A5B45D29-8B82-4B8A-B91B-46CEEC9CD846}">
          <x14:formula1>
            <xm:f>'DATA - IKKE RØR'!$M$3:$M$4</xm:f>
          </x14:formula1>
          <xm:sqref>D3:D179</xm:sqref>
        </x14:dataValidation>
        <x14:dataValidation type="list" allowBlank="1" showInputMessage="1" showErrorMessage="1" xr:uid="{7A352C7F-929D-4137-A889-2414D3E47405}">
          <x14:formula1>
            <xm:f>'DATA - IKKE RØR'!$L$3:$L$8</xm:f>
          </x14:formula1>
          <xm:sqref>E3:E179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DA35-B816-481D-8EA9-F5C9EF272FDA}">
  <sheetPr>
    <tabColor rgb="FF00B0F0"/>
  </sheetPr>
  <dimension ref="A1:K218"/>
  <sheetViews>
    <sheetView workbookViewId="0">
      <pane ySplit="2" topLeftCell="A3" activePane="bottomLeft" state="frozen"/>
      <selection pane="bottomLeft" activeCell="C48" sqref="C48:C56"/>
    </sheetView>
  </sheetViews>
  <sheetFormatPr defaultRowHeight="15"/>
  <cols>
    <col min="1" max="1" width="8" customWidth="1"/>
    <col min="2" max="2" width="12.28515625" style="41" customWidth="1"/>
    <col min="3" max="3" width="12.42578125" style="41" customWidth="1"/>
    <col min="4" max="4" width="11.7109375" style="41" bestFit="1" customWidth="1"/>
    <col min="5" max="5" width="15" customWidth="1"/>
    <col min="6" max="6" width="12.140625" bestFit="1" customWidth="1"/>
    <col min="7" max="7" width="15.5703125" style="41" bestFit="1" customWidth="1"/>
    <col min="8" max="8" width="15.5703125" bestFit="1" customWidth="1"/>
    <col min="9" max="9" width="16.42578125" style="41" customWidth="1"/>
    <col min="10" max="10" width="34.85546875" customWidth="1"/>
    <col min="11" max="11" width="33.5703125" customWidth="1"/>
    <col min="12" max="12" width="9.42578125" customWidth="1"/>
  </cols>
  <sheetData>
    <row r="1" spans="1:11" ht="20.100000000000001" customHeight="1">
      <c r="A1" s="219" t="s">
        <v>102</v>
      </c>
      <c r="B1" s="221" t="s">
        <v>103</v>
      </c>
      <c r="C1" s="221" t="s">
        <v>104</v>
      </c>
      <c r="D1" s="221" t="s">
        <v>10</v>
      </c>
      <c r="E1" s="221" t="s">
        <v>9</v>
      </c>
      <c r="F1" s="212" t="s">
        <v>105</v>
      </c>
      <c r="G1" s="231" t="s">
        <v>106</v>
      </c>
      <c r="H1" s="232"/>
      <c r="I1" s="212" t="s">
        <v>107</v>
      </c>
      <c r="J1" s="233" t="s">
        <v>108</v>
      </c>
      <c r="K1" s="217"/>
    </row>
    <row r="2" spans="1:11" ht="20.100000000000001" customHeight="1">
      <c r="A2" s="220"/>
      <c r="B2" s="222"/>
      <c r="C2" s="222"/>
      <c r="D2" s="222"/>
      <c r="E2" s="222"/>
      <c r="F2" s="213"/>
      <c r="G2" s="23" t="s">
        <v>109</v>
      </c>
      <c r="H2" s="14" t="s">
        <v>110</v>
      </c>
      <c r="I2" s="213"/>
      <c r="J2" s="15" t="s">
        <v>111</v>
      </c>
      <c r="K2" s="15" t="s">
        <v>112</v>
      </c>
    </row>
    <row r="3" spans="1:11">
      <c r="A3" s="62">
        <v>190</v>
      </c>
      <c r="B3" s="235" t="s">
        <v>29</v>
      </c>
      <c r="C3" s="238" t="s">
        <v>11</v>
      </c>
      <c r="D3" s="203" t="s">
        <v>24</v>
      </c>
      <c r="E3" s="247" t="s">
        <v>23</v>
      </c>
      <c r="F3" s="189" t="s">
        <v>40</v>
      </c>
      <c r="G3" s="196" t="s">
        <v>196</v>
      </c>
      <c r="H3" s="28" t="s">
        <v>197</v>
      </c>
      <c r="I3" s="196">
        <v>15990</v>
      </c>
      <c r="J3" s="188">
        <v>60.196739999999998</v>
      </c>
      <c r="K3" s="188">
        <v>20.852029000000002</v>
      </c>
    </row>
    <row r="4" spans="1:11">
      <c r="A4" s="62">
        <v>191</v>
      </c>
      <c r="B4" s="235"/>
      <c r="C4" s="238"/>
      <c r="D4" s="235"/>
      <c r="E4" s="241"/>
      <c r="F4" s="189" t="s">
        <v>40</v>
      </c>
      <c r="G4" s="196"/>
      <c r="H4" s="28" t="s">
        <v>198</v>
      </c>
      <c r="I4" s="196"/>
      <c r="J4" s="188">
        <v>58.248896000000002</v>
      </c>
      <c r="K4" s="188">
        <v>20.836358000000001</v>
      </c>
    </row>
    <row r="5" spans="1:11">
      <c r="A5" s="62">
        <v>192</v>
      </c>
      <c r="B5" s="235"/>
      <c r="C5" s="238"/>
      <c r="D5" s="235"/>
      <c r="E5" s="241"/>
      <c r="F5" s="189" t="s">
        <v>40</v>
      </c>
      <c r="G5" s="196"/>
      <c r="H5" s="28" t="s">
        <v>199</v>
      </c>
      <c r="I5" s="196"/>
      <c r="J5" s="188">
        <v>47.526879000000001</v>
      </c>
      <c r="K5" s="188">
        <v>20.732423000000001</v>
      </c>
    </row>
    <row r="6" spans="1:11">
      <c r="A6" s="63">
        <v>193</v>
      </c>
      <c r="B6" s="235"/>
      <c r="C6" s="238"/>
      <c r="D6" s="235"/>
      <c r="E6" s="241"/>
      <c r="F6" s="192" t="s">
        <v>42</v>
      </c>
      <c r="G6" s="196"/>
      <c r="H6" s="26" t="s">
        <v>197</v>
      </c>
      <c r="I6" s="196"/>
      <c r="J6" s="25">
        <v>199.713369</v>
      </c>
      <c r="K6" s="25">
        <v>31.287796</v>
      </c>
    </row>
    <row r="7" spans="1:11">
      <c r="A7" s="63">
        <v>194</v>
      </c>
      <c r="B7" s="235"/>
      <c r="C7" s="238"/>
      <c r="D7" s="235"/>
      <c r="E7" s="241"/>
      <c r="F7" s="192" t="s">
        <v>42</v>
      </c>
      <c r="G7" s="196"/>
      <c r="H7" s="26" t="s">
        <v>198</v>
      </c>
      <c r="I7" s="196"/>
      <c r="J7" s="25">
        <v>184.34513799999999</v>
      </c>
      <c r="K7" s="25">
        <v>30.852485000000001</v>
      </c>
    </row>
    <row r="8" spans="1:11">
      <c r="A8" s="63">
        <v>195</v>
      </c>
      <c r="B8" s="235"/>
      <c r="C8" s="238"/>
      <c r="D8" s="235"/>
      <c r="E8" s="241"/>
      <c r="F8" s="192" t="s">
        <v>42</v>
      </c>
      <c r="G8" s="196"/>
      <c r="H8" s="26" t="s">
        <v>199</v>
      </c>
      <c r="I8" s="196"/>
      <c r="J8" s="25">
        <v>71.547763000000003</v>
      </c>
      <c r="K8" s="25">
        <v>27.802612</v>
      </c>
    </row>
    <row r="9" spans="1:11">
      <c r="A9" s="46">
        <v>196</v>
      </c>
      <c r="B9" s="235"/>
      <c r="C9" s="238"/>
      <c r="D9" s="235"/>
      <c r="E9" s="241"/>
      <c r="F9" s="193" t="s">
        <v>47</v>
      </c>
      <c r="G9" s="196"/>
      <c r="H9" s="29" t="s">
        <v>197</v>
      </c>
      <c r="I9" s="196"/>
      <c r="J9" s="24">
        <v>375.30498299999999</v>
      </c>
      <c r="K9" s="24">
        <v>44.098872</v>
      </c>
    </row>
    <row r="10" spans="1:11">
      <c r="A10" s="46">
        <v>197</v>
      </c>
      <c r="B10" s="235"/>
      <c r="C10" s="238"/>
      <c r="D10" s="235"/>
      <c r="E10" s="241"/>
      <c r="F10" s="193" t="s">
        <v>47</v>
      </c>
      <c r="G10" s="196"/>
      <c r="H10" s="29" t="s">
        <v>198</v>
      </c>
      <c r="I10" s="196"/>
      <c r="J10" s="24">
        <v>345.395689</v>
      </c>
      <c r="K10" s="24">
        <v>43.323070000000001</v>
      </c>
    </row>
    <row r="11" spans="1:11">
      <c r="A11" s="47">
        <v>198</v>
      </c>
      <c r="B11" s="236"/>
      <c r="C11" s="239"/>
      <c r="D11" s="236"/>
      <c r="E11" s="242"/>
      <c r="F11" s="194" t="s">
        <v>47</v>
      </c>
      <c r="G11" s="197"/>
      <c r="H11" s="30" t="s">
        <v>199</v>
      </c>
      <c r="I11" s="197"/>
      <c r="J11" s="31">
        <v>119.07360199999999</v>
      </c>
      <c r="K11" s="31">
        <v>37.793717000000001</v>
      </c>
    </row>
    <row r="12" spans="1:11">
      <c r="A12" s="62">
        <v>199</v>
      </c>
      <c r="B12" s="235" t="s">
        <v>29</v>
      </c>
      <c r="C12" s="238" t="s">
        <v>11</v>
      </c>
      <c r="D12" s="203" t="s">
        <v>24</v>
      </c>
      <c r="E12" s="247" t="s">
        <v>23</v>
      </c>
      <c r="F12" s="189" t="s">
        <v>40</v>
      </c>
      <c r="G12" s="196" t="s">
        <v>122</v>
      </c>
      <c r="H12" s="28" t="s">
        <v>200</v>
      </c>
      <c r="I12" s="196">
        <v>15990</v>
      </c>
      <c r="J12" s="188">
        <v>58.819637999999998</v>
      </c>
      <c r="K12" s="188">
        <v>21.042119</v>
      </c>
    </row>
    <row r="13" spans="1:11">
      <c r="A13" s="62">
        <v>200</v>
      </c>
      <c r="B13" s="235"/>
      <c r="C13" s="238"/>
      <c r="D13" s="235"/>
      <c r="E13" s="241"/>
      <c r="F13" s="189" t="s">
        <v>40</v>
      </c>
      <c r="G13" s="196"/>
      <c r="H13" s="28" t="s">
        <v>201</v>
      </c>
      <c r="I13" s="196"/>
      <c r="J13" s="188">
        <v>59.047348</v>
      </c>
      <c r="K13" s="188">
        <v>21.046797999999999</v>
      </c>
    </row>
    <row r="14" spans="1:11">
      <c r="A14" s="62">
        <v>201</v>
      </c>
      <c r="B14" s="235"/>
      <c r="C14" s="238"/>
      <c r="D14" s="235"/>
      <c r="E14" s="241"/>
      <c r="F14" s="189" t="s">
        <v>40</v>
      </c>
      <c r="G14" s="196"/>
      <c r="H14" s="28" t="s">
        <v>202</v>
      </c>
      <c r="I14" s="196"/>
      <c r="J14" s="188">
        <v>47.720854000000003</v>
      </c>
      <c r="K14" s="188">
        <v>20.774312999999999</v>
      </c>
    </row>
    <row r="15" spans="1:11">
      <c r="A15" s="63">
        <v>202</v>
      </c>
      <c r="B15" s="235"/>
      <c r="C15" s="238"/>
      <c r="D15" s="235"/>
      <c r="E15" s="241"/>
      <c r="F15" s="192" t="s">
        <v>42</v>
      </c>
      <c r="G15" s="196"/>
      <c r="H15" s="26" t="s">
        <v>200</v>
      </c>
      <c r="I15" s="196"/>
      <c r="J15" s="25">
        <v>181.87783099999999</v>
      </c>
      <c r="K15" s="25">
        <v>29.391679</v>
      </c>
    </row>
    <row r="16" spans="1:11">
      <c r="A16" s="63">
        <v>203</v>
      </c>
      <c r="B16" s="235"/>
      <c r="C16" s="238"/>
      <c r="D16" s="235"/>
      <c r="E16" s="241"/>
      <c r="F16" s="192" t="s">
        <v>42</v>
      </c>
      <c r="G16" s="196"/>
      <c r="H16" s="26" t="s">
        <v>201</v>
      </c>
      <c r="I16" s="196"/>
      <c r="J16" s="25">
        <v>183.654832</v>
      </c>
      <c r="K16" s="25">
        <v>29.423931</v>
      </c>
    </row>
    <row r="17" spans="1:11">
      <c r="A17" s="63">
        <v>204</v>
      </c>
      <c r="B17" s="235"/>
      <c r="C17" s="238"/>
      <c r="D17" s="235"/>
      <c r="E17" s="241"/>
      <c r="F17" s="192" t="s">
        <v>42</v>
      </c>
      <c r="G17" s="196"/>
      <c r="H17" s="26" t="s">
        <v>202</v>
      </c>
      <c r="I17" s="196"/>
      <c r="J17" s="25">
        <v>71.196690000000004</v>
      </c>
      <c r="K17" s="25">
        <v>27.495425999999998</v>
      </c>
    </row>
    <row r="18" spans="1:11">
      <c r="A18" s="46">
        <v>205</v>
      </c>
      <c r="B18" s="235"/>
      <c r="C18" s="238"/>
      <c r="D18" s="235"/>
      <c r="E18" s="241"/>
      <c r="F18" s="193" t="s">
        <v>47</v>
      </c>
      <c r="G18" s="196"/>
      <c r="H18" s="29" t="s">
        <v>200</v>
      </c>
      <c r="I18" s="196"/>
      <c r="J18" s="24">
        <v>341.19356299999998</v>
      </c>
      <c r="K18" s="24">
        <v>40.049982</v>
      </c>
    </row>
    <row r="19" spans="1:11">
      <c r="A19" s="46">
        <v>206</v>
      </c>
      <c r="B19" s="235"/>
      <c r="C19" s="238"/>
      <c r="D19" s="235"/>
      <c r="E19" s="241"/>
      <c r="F19" s="193" t="s">
        <v>47</v>
      </c>
      <c r="G19" s="196"/>
      <c r="H19" s="29" t="s">
        <v>201</v>
      </c>
      <c r="I19" s="196"/>
      <c r="J19" s="24">
        <v>344.65992899999998</v>
      </c>
      <c r="K19" s="24">
        <v>40.100155000000001</v>
      </c>
    </row>
    <row r="20" spans="1:11">
      <c r="A20" s="47">
        <v>207</v>
      </c>
      <c r="B20" s="236"/>
      <c r="C20" s="239"/>
      <c r="D20" s="236"/>
      <c r="E20" s="242"/>
      <c r="F20" s="194" t="s">
        <v>47</v>
      </c>
      <c r="G20" s="197"/>
      <c r="H20" s="30" t="s">
        <v>202</v>
      </c>
      <c r="I20" s="197"/>
      <c r="J20" s="31">
        <v>118.652283</v>
      </c>
      <c r="K20" s="31">
        <v>37.085374999999999</v>
      </c>
    </row>
    <row r="21" spans="1:11">
      <c r="A21" s="62">
        <v>208</v>
      </c>
      <c r="B21" s="235" t="s">
        <v>29</v>
      </c>
      <c r="C21" s="238" t="s">
        <v>11</v>
      </c>
      <c r="D21" s="203" t="s">
        <v>24</v>
      </c>
      <c r="E21" s="247" t="s">
        <v>23</v>
      </c>
      <c r="F21" s="189" t="s">
        <v>40</v>
      </c>
      <c r="G21" s="196" t="s">
        <v>126</v>
      </c>
      <c r="H21" s="28" t="s">
        <v>203</v>
      </c>
      <c r="I21" s="196">
        <v>15990</v>
      </c>
      <c r="J21" s="188">
        <v>59.462837999999998</v>
      </c>
      <c r="K21" s="188">
        <v>21.440183000000001</v>
      </c>
    </row>
    <row r="22" spans="1:11">
      <c r="A22" s="62">
        <v>209</v>
      </c>
      <c r="B22" s="235"/>
      <c r="C22" s="238"/>
      <c r="D22" s="235"/>
      <c r="E22" s="241"/>
      <c r="F22" s="189" t="s">
        <v>40</v>
      </c>
      <c r="G22" s="196"/>
      <c r="H22" s="28" t="s">
        <v>204</v>
      </c>
      <c r="I22" s="196"/>
      <c r="J22" s="188">
        <v>59.712294999999997</v>
      </c>
      <c r="K22" s="188">
        <v>21.451260000000001</v>
      </c>
    </row>
    <row r="23" spans="1:11">
      <c r="A23" s="62">
        <v>210</v>
      </c>
      <c r="B23" s="235"/>
      <c r="C23" s="238"/>
      <c r="D23" s="235"/>
      <c r="E23" s="241"/>
      <c r="F23" s="189" t="s">
        <v>40</v>
      </c>
      <c r="G23" s="196"/>
      <c r="H23" s="28" t="s">
        <v>205</v>
      </c>
      <c r="I23" s="196"/>
      <c r="J23" s="188">
        <v>60.696904000000004</v>
      </c>
      <c r="K23" s="188">
        <v>21.494702</v>
      </c>
    </row>
    <row r="24" spans="1:11">
      <c r="A24" s="63">
        <v>211</v>
      </c>
      <c r="B24" s="235"/>
      <c r="C24" s="238"/>
      <c r="D24" s="235"/>
      <c r="E24" s="241"/>
      <c r="F24" s="192" t="s">
        <v>42</v>
      </c>
      <c r="G24" s="196"/>
      <c r="H24" s="26" t="s">
        <v>203</v>
      </c>
      <c r="I24" s="196"/>
      <c r="J24" s="25">
        <v>176.56432699999999</v>
      </c>
      <c r="K24" s="25">
        <v>32.990616000000003</v>
      </c>
    </row>
    <row r="25" spans="1:11">
      <c r="A25" s="63">
        <v>212</v>
      </c>
      <c r="B25" s="235"/>
      <c r="C25" s="238"/>
      <c r="D25" s="235"/>
      <c r="E25" s="241"/>
      <c r="F25" s="192" t="s">
        <v>42</v>
      </c>
      <c r="G25" s="196"/>
      <c r="H25" s="26" t="s">
        <v>204</v>
      </c>
      <c r="I25" s="196"/>
      <c r="J25" s="25">
        <v>178.42510899999999</v>
      </c>
      <c r="K25" s="25">
        <v>33.074221000000001</v>
      </c>
    </row>
    <row r="26" spans="1:11">
      <c r="A26" s="63">
        <v>213</v>
      </c>
      <c r="B26" s="235"/>
      <c r="C26" s="238"/>
      <c r="D26" s="235"/>
      <c r="E26" s="241"/>
      <c r="F26" s="192" t="s">
        <v>42</v>
      </c>
      <c r="G26" s="196"/>
      <c r="H26" s="26" t="s">
        <v>205</v>
      </c>
      <c r="I26" s="196"/>
      <c r="J26" s="25">
        <v>185.67856</v>
      </c>
      <c r="K26" s="25">
        <v>33.400517000000001</v>
      </c>
    </row>
    <row r="27" spans="1:11">
      <c r="A27" s="46">
        <v>214</v>
      </c>
      <c r="B27" s="235"/>
      <c r="C27" s="238"/>
      <c r="D27" s="235"/>
      <c r="E27" s="241"/>
      <c r="F27" s="193" t="s">
        <v>47</v>
      </c>
      <c r="G27" s="196"/>
      <c r="H27" s="29" t="s">
        <v>203</v>
      </c>
      <c r="I27" s="196"/>
      <c r="J27" s="24">
        <v>328.942701</v>
      </c>
      <c r="K27" s="24">
        <v>47.877718999999999</v>
      </c>
    </row>
    <row r="28" spans="1:11">
      <c r="A28" s="46">
        <v>215</v>
      </c>
      <c r="B28" s="235"/>
      <c r="C28" s="238"/>
      <c r="D28" s="235"/>
      <c r="E28" s="241"/>
      <c r="F28" s="193" t="s">
        <v>47</v>
      </c>
      <c r="G28" s="196"/>
      <c r="H28" s="29" t="s">
        <v>204</v>
      </c>
      <c r="I28" s="196"/>
      <c r="J28" s="24">
        <v>332.568108</v>
      </c>
      <c r="K28" s="24">
        <v>48.033827000000002</v>
      </c>
    </row>
    <row r="29" spans="1:11">
      <c r="A29" s="47">
        <v>216</v>
      </c>
      <c r="B29" s="236"/>
      <c r="C29" s="239"/>
      <c r="D29" s="236"/>
      <c r="E29" s="242"/>
      <c r="F29" s="194" t="s">
        <v>47</v>
      </c>
      <c r="G29" s="197"/>
      <c r="H29" s="30" t="s">
        <v>205</v>
      </c>
      <c r="I29" s="197"/>
      <c r="J29" s="31">
        <v>346.68783400000001</v>
      </c>
      <c r="K29" s="31">
        <v>48.642020000000002</v>
      </c>
    </row>
    <row r="30" spans="1:11">
      <c r="A30" s="62">
        <v>217</v>
      </c>
      <c r="B30" s="235" t="s">
        <v>29</v>
      </c>
      <c r="C30" s="238" t="s">
        <v>11</v>
      </c>
      <c r="D30" s="203" t="s">
        <v>24</v>
      </c>
      <c r="E30" s="247" t="s">
        <v>23</v>
      </c>
      <c r="F30" s="189" t="s">
        <v>40</v>
      </c>
      <c r="G30" s="196" t="s">
        <v>206</v>
      </c>
      <c r="H30" s="28" t="s">
        <v>207</v>
      </c>
      <c r="I30" s="196">
        <v>15990</v>
      </c>
      <c r="J30" s="188">
        <v>61.212195000000001</v>
      </c>
      <c r="K30" s="188">
        <v>21.902297000000001</v>
      </c>
    </row>
    <row r="31" spans="1:11">
      <c r="A31" s="62">
        <v>218</v>
      </c>
      <c r="B31" s="235"/>
      <c r="C31" s="238"/>
      <c r="D31" s="235"/>
      <c r="E31" s="241"/>
      <c r="F31" s="189" t="s">
        <v>40</v>
      </c>
      <c r="G31" s="196"/>
      <c r="H31" s="28" t="s">
        <v>208</v>
      </c>
      <c r="I31" s="196"/>
      <c r="J31" s="188">
        <v>61.480944999999998</v>
      </c>
      <c r="K31" s="188">
        <v>21.920162999999999</v>
      </c>
    </row>
    <row r="32" spans="1:11">
      <c r="A32" s="62">
        <v>219</v>
      </c>
      <c r="B32" s="235"/>
      <c r="C32" s="238"/>
      <c r="D32" s="235"/>
      <c r="E32" s="241"/>
      <c r="F32" s="189" t="s">
        <v>40</v>
      </c>
      <c r="G32" s="196"/>
      <c r="H32" s="28" t="s">
        <v>209</v>
      </c>
      <c r="I32" s="196"/>
      <c r="J32" s="188">
        <v>62.539624000000003</v>
      </c>
      <c r="K32" s="188">
        <v>21.990182999999998</v>
      </c>
    </row>
    <row r="33" spans="1:11">
      <c r="A33" s="63">
        <v>220</v>
      </c>
      <c r="B33" s="235"/>
      <c r="C33" s="238"/>
      <c r="D33" s="235"/>
      <c r="E33" s="241"/>
      <c r="F33" s="192" t="s">
        <v>42</v>
      </c>
      <c r="G33" s="196"/>
      <c r="H33" s="26" t="s">
        <v>207</v>
      </c>
      <c r="I33" s="196"/>
      <c r="J33" s="25">
        <v>178.22006999999999</v>
      </c>
      <c r="K33" s="25">
        <v>35.761263</v>
      </c>
    </row>
    <row r="34" spans="1:11">
      <c r="A34" s="63">
        <v>221</v>
      </c>
      <c r="B34" s="235"/>
      <c r="C34" s="238"/>
      <c r="D34" s="235"/>
      <c r="E34" s="241"/>
      <c r="F34" s="192" t="s">
        <v>42</v>
      </c>
      <c r="G34" s="196"/>
      <c r="H34" s="26" t="s">
        <v>208</v>
      </c>
      <c r="I34" s="196"/>
      <c r="J34" s="25">
        <v>180.08881199999999</v>
      </c>
      <c r="K34" s="25">
        <v>35.879229000000002</v>
      </c>
    </row>
    <row r="35" spans="1:11">
      <c r="A35" s="63">
        <v>222</v>
      </c>
      <c r="B35" s="235"/>
      <c r="C35" s="238"/>
      <c r="D35" s="235"/>
      <c r="E35" s="241"/>
      <c r="F35" s="192" t="s">
        <v>42</v>
      </c>
      <c r="G35" s="196"/>
      <c r="H35" s="26" t="s">
        <v>209</v>
      </c>
      <c r="I35" s="196"/>
      <c r="J35" s="25">
        <v>187.37247600000001</v>
      </c>
      <c r="K35" s="25">
        <v>36.338780999999997</v>
      </c>
    </row>
    <row r="36" spans="1:11">
      <c r="A36" s="46">
        <v>223</v>
      </c>
      <c r="B36" s="235"/>
      <c r="C36" s="238"/>
      <c r="D36" s="235"/>
      <c r="E36" s="241"/>
      <c r="F36" s="193" t="s">
        <v>47</v>
      </c>
      <c r="G36" s="196"/>
      <c r="H36" s="29" t="s">
        <v>207</v>
      </c>
      <c r="I36" s="196"/>
      <c r="J36" s="24">
        <v>332.17696599999999</v>
      </c>
      <c r="K36" s="24">
        <v>58.432231000000002</v>
      </c>
    </row>
    <row r="37" spans="1:11">
      <c r="A37" s="46">
        <v>224</v>
      </c>
      <c r="B37" s="235"/>
      <c r="C37" s="238"/>
      <c r="D37" s="235"/>
      <c r="E37" s="241"/>
      <c r="F37" s="193" t="s">
        <v>47</v>
      </c>
      <c r="G37" s="196"/>
      <c r="H37" s="29" t="s">
        <v>208</v>
      </c>
      <c r="I37" s="196"/>
      <c r="J37" s="24">
        <v>335.81638900000002</v>
      </c>
      <c r="K37" s="24">
        <v>58.707275000000003</v>
      </c>
    </row>
    <row r="38" spans="1:11">
      <c r="A38" s="47">
        <v>225</v>
      </c>
      <c r="B38" s="236"/>
      <c r="C38" s="239"/>
      <c r="D38" s="236"/>
      <c r="E38" s="242"/>
      <c r="F38" s="194" t="s">
        <v>47</v>
      </c>
      <c r="G38" s="197"/>
      <c r="H38" s="30" t="s">
        <v>209</v>
      </c>
      <c r="I38" s="197"/>
      <c r="J38" s="31">
        <v>349.98945099999997</v>
      </c>
      <c r="K38" s="31">
        <v>59.775139000000003</v>
      </c>
    </row>
    <row r="39" spans="1:11">
      <c r="A39" s="62">
        <v>226</v>
      </c>
      <c r="B39" s="235" t="s">
        <v>29</v>
      </c>
      <c r="C39" s="238" t="s">
        <v>11</v>
      </c>
      <c r="D39" s="203" t="s">
        <v>24</v>
      </c>
      <c r="E39" s="247" t="s">
        <v>23</v>
      </c>
      <c r="F39" s="189" t="s">
        <v>40</v>
      </c>
      <c r="G39" s="196" t="s">
        <v>134</v>
      </c>
      <c r="H39" s="28" t="s">
        <v>210</v>
      </c>
      <c r="I39" s="196">
        <v>15990</v>
      </c>
      <c r="J39" s="188">
        <v>57.462384999999998</v>
      </c>
      <c r="K39" s="188">
        <v>20.910844999999998</v>
      </c>
    </row>
    <row r="40" spans="1:11">
      <c r="A40" s="62">
        <v>227</v>
      </c>
      <c r="B40" s="235"/>
      <c r="C40" s="238"/>
      <c r="D40" s="235"/>
      <c r="E40" s="241"/>
      <c r="F40" s="189" t="s">
        <v>40</v>
      </c>
      <c r="G40" s="196"/>
      <c r="H40" s="28" t="s">
        <v>211</v>
      </c>
      <c r="I40" s="196"/>
      <c r="J40" s="188">
        <v>57.689337000000002</v>
      </c>
      <c r="K40" s="188">
        <v>20.913965999999999</v>
      </c>
    </row>
    <row r="41" spans="1:11">
      <c r="A41" s="62">
        <v>228</v>
      </c>
      <c r="B41" s="235"/>
      <c r="C41" s="238"/>
      <c r="D41" s="235"/>
      <c r="E41" s="241"/>
      <c r="F41" s="189" t="s">
        <v>40</v>
      </c>
      <c r="G41" s="196"/>
      <c r="H41" s="28" t="s">
        <v>212</v>
      </c>
      <c r="I41" s="196"/>
      <c r="J41" s="188">
        <v>58.587519999999998</v>
      </c>
      <c r="K41" s="188">
        <v>20.926216</v>
      </c>
    </row>
    <row r="42" spans="1:11">
      <c r="A42" s="63">
        <v>229</v>
      </c>
      <c r="B42" s="235"/>
      <c r="C42" s="238"/>
      <c r="D42" s="235"/>
      <c r="E42" s="241"/>
      <c r="F42" s="192" t="s">
        <v>42</v>
      </c>
      <c r="G42" s="196"/>
      <c r="H42" s="26" t="s">
        <v>210</v>
      </c>
      <c r="I42" s="196"/>
      <c r="J42" s="25">
        <v>180.25203300000001</v>
      </c>
      <c r="K42" s="25">
        <v>38.973104999999997</v>
      </c>
    </row>
    <row r="43" spans="1:11">
      <c r="A43" s="63">
        <v>230</v>
      </c>
      <c r="B43" s="235"/>
      <c r="C43" s="238"/>
      <c r="D43" s="235"/>
      <c r="E43" s="241"/>
      <c r="F43" s="192" t="s">
        <v>42</v>
      </c>
      <c r="G43" s="196"/>
      <c r="H43" s="26" t="s">
        <v>211</v>
      </c>
      <c r="I43" s="196"/>
      <c r="J43" s="25">
        <v>182.130661</v>
      </c>
      <c r="K43" s="25">
        <v>39.128549999999997</v>
      </c>
    </row>
    <row r="44" spans="1:11">
      <c r="A44" s="63">
        <v>231</v>
      </c>
      <c r="B44" s="235"/>
      <c r="C44" s="238"/>
      <c r="D44" s="235"/>
      <c r="E44" s="241"/>
      <c r="F44" s="192" t="s">
        <v>42</v>
      </c>
      <c r="G44" s="196"/>
      <c r="H44" s="26" t="s">
        <v>212</v>
      </c>
      <c r="I44" s="196"/>
      <c r="J44" s="25">
        <v>189.45186100000001</v>
      </c>
      <c r="K44" s="25">
        <v>39.733103999999997</v>
      </c>
    </row>
    <row r="45" spans="1:11">
      <c r="A45" s="46">
        <v>232</v>
      </c>
      <c r="B45" s="235"/>
      <c r="C45" s="238"/>
      <c r="D45" s="235"/>
      <c r="E45" s="241"/>
      <c r="F45" s="193" t="s">
        <v>47</v>
      </c>
      <c r="G45" s="196"/>
      <c r="H45" s="29" t="s">
        <v>210</v>
      </c>
      <c r="I45" s="196"/>
      <c r="J45" s="24">
        <v>353.07669199999998</v>
      </c>
      <c r="K45" s="24">
        <v>104.42782099999999</v>
      </c>
    </row>
    <row r="46" spans="1:11">
      <c r="A46" s="46">
        <v>233</v>
      </c>
      <c r="B46" s="235"/>
      <c r="C46" s="238"/>
      <c r="D46" s="235"/>
      <c r="E46" s="241"/>
      <c r="F46" s="193" t="s">
        <v>47</v>
      </c>
      <c r="G46" s="196"/>
      <c r="H46" s="29" t="s">
        <v>211</v>
      </c>
      <c r="I46" s="196"/>
      <c r="J46" s="24">
        <v>356.81141400000001</v>
      </c>
      <c r="K46" s="24">
        <v>105.13098100000001</v>
      </c>
    </row>
    <row r="47" spans="1:11">
      <c r="A47" s="47">
        <v>234</v>
      </c>
      <c r="B47" s="236"/>
      <c r="C47" s="239"/>
      <c r="D47" s="236"/>
      <c r="E47" s="242"/>
      <c r="F47" s="194" t="s">
        <v>47</v>
      </c>
      <c r="G47" s="197"/>
      <c r="H47" s="30" t="s">
        <v>212</v>
      </c>
      <c r="I47" s="197"/>
      <c r="J47" s="31">
        <v>371.34726000000001</v>
      </c>
      <c r="K47" s="31">
        <v>107.847965</v>
      </c>
    </row>
    <row r="48" spans="1:11">
      <c r="A48" s="62">
        <v>235</v>
      </c>
      <c r="B48" s="235" t="s">
        <v>29</v>
      </c>
      <c r="C48" s="238" t="s">
        <v>11</v>
      </c>
      <c r="D48" s="203" t="s">
        <v>24</v>
      </c>
      <c r="E48" s="247" t="s">
        <v>23</v>
      </c>
      <c r="F48" s="189" t="s">
        <v>40</v>
      </c>
      <c r="G48" s="196" t="s">
        <v>138</v>
      </c>
      <c r="H48" s="28" t="s">
        <v>213</v>
      </c>
      <c r="I48" s="196">
        <v>15990</v>
      </c>
      <c r="J48" s="188">
        <v>61.759191999999999</v>
      </c>
      <c r="K48" s="188">
        <v>22.047615</v>
      </c>
    </row>
    <row r="49" spans="1:11">
      <c r="A49" s="62">
        <v>236</v>
      </c>
      <c r="B49" s="235"/>
      <c r="C49" s="238"/>
      <c r="D49" s="235"/>
      <c r="E49" s="241"/>
      <c r="F49" s="189" t="s">
        <v>40</v>
      </c>
      <c r="G49" s="196"/>
      <c r="H49" s="28" t="s">
        <v>214</v>
      </c>
      <c r="I49" s="196"/>
      <c r="J49" s="188">
        <v>62.033904999999997</v>
      </c>
      <c r="K49" s="188">
        <v>22.067588000000001</v>
      </c>
    </row>
    <row r="50" spans="1:11">
      <c r="A50" s="62">
        <v>237</v>
      </c>
      <c r="B50" s="235"/>
      <c r="C50" s="238"/>
      <c r="D50" s="235"/>
      <c r="E50" s="241"/>
      <c r="F50" s="189" t="s">
        <v>40</v>
      </c>
      <c r="G50" s="196"/>
      <c r="H50" s="28" t="s">
        <v>215</v>
      </c>
      <c r="I50" s="196"/>
      <c r="J50" s="188">
        <v>63.115476999999998</v>
      </c>
      <c r="K50" s="188">
        <v>22.145847</v>
      </c>
    </row>
    <row r="51" spans="1:11">
      <c r="A51" s="63">
        <v>238</v>
      </c>
      <c r="B51" s="235"/>
      <c r="C51" s="238"/>
      <c r="D51" s="235"/>
      <c r="E51" s="241"/>
      <c r="F51" s="192" t="s">
        <v>42</v>
      </c>
      <c r="G51" s="196"/>
      <c r="H51" s="26" t="s">
        <v>213</v>
      </c>
      <c r="I51" s="196"/>
      <c r="J51" s="25">
        <v>179.91297900000001</v>
      </c>
      <c r="K51" s="25">
        <v>38.408118999999999</v>
      </c>
    </row>
    <row r="52" spans="1:11">
      <c r="A52" s="63">
        <v>239</v>
      </c>
      <c r="B52" s="235"/>
      <c r="C52" s="238"/>
      <c r="D52" s="235"/>
      <c r="E52" s="241"/>
      <c r="F52" s="192" t="s">
        <v>42</v>
      </c>
      <c r="G52" s="196"/>
      <c r="H52" s="26" t="s">
        <v>214</v>
      </c>
      <c r="I52" s="196"/>
      <c r="J52" s="25">
        <v>181.78994800000001</v>
      </c>
      <c r="K52" s="25">
        <v>38.557127999999999</v>
      </c>
    </row>
    <row r="53" spans="1:11">
      <c r="A53" s="63">
        <v>240</v>
      </c>
      <c r="B53" s="235"/>
      <c r="C53" s="238"/>
      <c r="D53" s="235"/>
      <c r="E53" s="241"/>
      <c r="F53" s="192" t="s">
        <v>42</v>
      </c>
      <c r="G53" s="196"/>
      <c r="H53" s="26" t="s">
        <v>215</v>
      </c>
      <c r="I53" s="196"/>
      <c r="J53" s="25">
        <v>189.104851</v>
      </c>
      <c r="K53" s="25">
        <v>39.136803999999998</v>
      </c>
    </row>
    <row r="54" spans="1:11">
      <c r="A54" s="46">
        <v>241</v>
      </c>
      <c r="B54" s="235"/>
      <c r="C54" s="238"/>
      <c r="D54" s="235"/>
      <c r="E54" s="241"/>
      <c r="F54" s="193" t="s">
        <v>47</v>
      </c>
      <c r="G54" s="196"/>
      <c r="H54" s="29" t="s">
        <v>213</v>
      </c>
      <c r="I54" s="196"/>
      <c r="J54" s="24">
        <v>334.86594400000001</v>
      </c>
      <c r="K54" s="24">
        <v>65.879237000000003</v>
      </c>
    </row>
    <row r="55" spans="1:11">
      <c r="A55" s="46">
        <v>242</v>
      </c>
      <c r="B55" s="235"/>
      <c r="C55" s="238"/>
      <c r="D55" s="235"/>
      <c r="E55" s="241"/>
      <c r="F55" s="193" t="s">
        <v>47</v>
      </c>
      <c r="G55" s="196"/>
      <c r="H55" s="29" t="s">
        <v>214</v>
      </c>
      <c r="I55" s="196"/>
      <c r="J55" s="24">
        <v>338.517178</v>
      </c>
      <c r="K55" s="24">
        <v>66.230817999999999</v>
      </c>
    </row>
    <row r="56" spans="1:11">
      <c r="A56" s="47">
        <v>243</v>
      </c>
      <c r="B56" s="236"/>
      <c r="C56" s="239"/>
      <c r="D56" s="236"/>
      <c r="E56" s="242"/>
      <c r="F56" s="194" t="s">
        <v>47</v>
      </c>
      <c r="G56" s="197"/>
      <c r="H56" s="30" t="s">
        <v>215</v>
      </c>
      <c r="I56" s="197"/>
      <c r="J56" s="31">
        <v>352.735186</v>
      </c>
      <c r="K56" s="31">
        <v>67.593795999999998</v>
      </c>
    </row>
    <row r="57" spans="1:11">
      <c r="B57" s="185"/>
      <c r="C57" s="185"/>
      <c r="D57" s="185"/>
      <c r="G57" s="185"/>
      <c r="I57" s="185"/>
    </row>
    <row r="58" spans="1:11">
      <c r="B58" s="185"/>
      <c r="C58" s="185"/>
      <c r="D58" s="185"/>
      <c r="G58" s="185"/>
      <c r="I58" s="185"/>
    </row>
    <row r="59" spans="1:11">
      <c r="B59" s="185"/>
      <c r="C59" s="185"/>
      <c r="D59" s="185"/>
      <c r="G59" s="185"/>
      <c r="I59" s="185"/>
    </row>
    <row r="60" spans="1:11">
      <c r="B60" s="185"/>
      <c r="C60" s="185"/>
      <c r="D60" s="185"/>
      <c r="G60" s="185"/>
      <c r="I60" s="185"/>
    </row>
    <row r="61" spans="1:11">
      <c r="B61" s="185"/>
      <c r="C61" s="185"/>
      <c r="D61" s="185"/>
      <c r="G61" s="185"/>
      <c r="I61" s="185"/>
    </row>
    <row r="62" spans="1:11">
      <c r="B62" s="185"/>
      <c r="C62" s="185"/>
      <c r="D62" s="185"/>
      <c r="G62" s="185"/>
      <c r="I62" s="185"/>
    </row>
    <row r="63" spans="1:11">
      <c r="B63" s="185"/>
      <c r="C63" s="185"/>
      <c r="D63" s="185"/>
      <c r="G63" s="185"/>
      <c r="I63" s="185"/>
    </row>
    <row r="64" spans="1:11">
      <c r="B64"/>
      <c r="C64" s="185"/>
      <c r="D64"/>
      <c r="E64" s="185"/>
      <c r="G64"/>
      <c r="I64"/>
    </row>
    <row r="65" spans="2:9">
      <c r="B65"/>
      <c r="C65"/>
      <c r="D65"/>
      <c r="G65"/>
      <c r="I65"/>
    </row>
    <row r="66" spans="2:9">
      <c r="B66"/>
      <c r="C66"/>
      <c r="D66"/>
      <c r="G66"/>
      <c r="I66"/>
    </row>
    <row r="67" spans="2:9">
      <c r="B67"/>
      <c r="C67" s="185"/>
      <c r="D67"/>
      <c r="E67" s="185"/>
      <c r="G67"/>
      <c r="I67"/>
    </row>
    <row r="68" spans="2:9">
      <c r="B68"/>
      <c r="C68" s="185"/>
      <c r="D68"/>
      <c r="E68" s="185"/>
      <c r="G68"/>
      <c r="I68"/>
    </row>
    <row r="69" spans="2:9">
      <c r="B69"/>
      <c r="C69" s="185"/>
      <c r="D69" s="185"/>
      <c r="E69" s="185"/>
      <c r="G69"/>
      <c r="I69"/>
    </row>
    <row r="70" spans="2:9">
      <c r="B70"/>
      <c r="C70" s="185"/>
      <c r="D70" s="185"/>
      <c r="E70" s="185"/>
      <c r="G70"/>
      <c r="I70"/>
    </row>
    <row r="71" spans="2:9">
      <c r="B71" s="185"/>
      <c r="C71" s="185"/>
      <c r="D71" s="185"/>
      <c r="G71" s="185"/>
      <c r="I71" s="185"/>
    </row>
    <row r="72" spans="2:9">
      <c r="B72" s="185"/>
      <c r="C72" s="185"/>
      <c r="D72" s="185"/>
      <c r="G72" s="185"/>
      <c r="I72" s="185"/>
    </row>
    <row r="73" spans="2:9">
      <c r="B73" s="185"/>
      <c r="C73" s="185"/>
      <c r="D73" s="185"/>
      <c r="G73" s="185"/>
      <c r="I73" s="185"/>
    </row>
    <row r="74" spans="2:9">
      <c r="B74" s="185"/>
      <c r="C74" s="185"/>
      <c r="D74" s="185"/>
      <c r="G74" s="185"/>
      <c r="I74" s="185"/>
    </row>
    <row r="75" spans="2:9">
      <c r="B75" s="185"/>
      <c r="C75" s="185"/>
      <c r="D75" s="185"/>
      <c r="G75" s="185"/>
      <c r="I75" s="185"/>
    </row>
    <row r="76" spans="2:9">
      <c r="B76" s="185"/>
      <c r="C76" s="185"/>
      <c r="D76" s="185"/>
      <c r="G76" s="185"/>
      <c r="I76" s="185"/>
    </row>
    <row r="77" spans="2:9">
      <c r="B77" s="185"/>
      <c r="C77" s="185"/>
      <c r="D77" s="185"/>
      <c r="G77" s="185"/>
      <c r="I77" s="185"/>
    </row>
    <row r="78" spans="2:9">
      <c r="B78" s="185"/>
      <c r="C78" s="185"/>
      <c r="D78" s="185"/>
      <c r="G78" s="185"/>
      <c r="I78" s="185"/>
    </row>
    <row r="79" spans="2:9">
      <c r="B79" s="185"/>
      <c r="C79" s="185"/>
      <c r="D79" s="185"/>
      <c r="G79" s="185"/>
      <c r="I79" s="185"/>
    </row>
    <row r="80" spans="2:9">
      <c r="B80" s="185"/>
      <c r="C80" s="185"/>
      <c r="D80" s="185"/>
      <c r="G80" s="185"/>
      <c r="I80" s="185"/>
    </row>
    <row r="81" spans="2:9">
      <c r="B81" s="185"/>
      <c r="C81" s="185"/>
      <c r="D81" s="185"/>
      <c r="G81" s="185"/>
      <c r="I81" s="185"/>
    </row>
    <row r="82" spans="2:9">
      <c r="B82" s="185"/>
      <c r="C82" s="185"/>
      <c r="D82" s="185"/>
      <c r="G82" s="185"/>
      <c r="I82" s="185"/>
    </row>
    <row r="83" spans="2:9">
      <c r="B83" s="185"/>
      <c r="C83" s="185"/>
      <c r="D83" s="185"/>
      <c r="G83" s="185"/>
      <c r="I83" s="185"/>
    </row>
    <row r="84" spans="2:9">
      <c r="B84" s="185"/>
      <c r="C84" s="185"/>
      <c r="D84" s="185"/>
      <c r="G84" s="185"/>
      <c r="I84" s="185"/>
    </row>
    <row r="85" spans="2:9">
      <c r="B85" s="185"/>
      <c r="C85" s="185"/>
      <c r="D85" s="185"/>
      <c r="G85" s="185"/>
      <c r="I85" s="185"/>
    </row>
    <row r="86" spans="2:9">
      <c r="B86" s="185"/>
      <c r="C86" s="185"/>
      <c r="D86" s="185"/>
      <c r="G86" s="185"/>
      <c r="I86" s="185"/>
    </row>
    <row r="87" spans="2:9">
      <c r="B87" s="185"/>
      <c r="C87" s="185"/>
      <c r="D87" s="185"/>
      <c r="G87" s="185"/>
      <c r="I87" s="185"/>
    </row>
    <row r="88" spans="2:9">
      <c r="B88" s="185"/>
      <c r="C88" s="185"/>
      <c r="D88" s="185"/>
      <c r="G88" s="185"/>
      <c r="I88" s="185"/>
    </row>
    <row r="89" spans="2:9">
      <c r="B89" s="185"/>
      <c r="C89" s="185"/>
      <c r="D89" s="185"/>
      <c r="G89" s="185"/>
      <c r="I89" s="185"/>
    </row>
    <row r="90" spans="2:9">
      <c r="B90" s="185"/>
      <c r="C90" s="185"/>
      <c r="D90" s="185"/>
      <c r="G90" s="185"/>
      <c r="I90" s="185"/>
    </row>
    <row r="91" spans="2:9">
      <c r="B91" s="185"/>
      <c r="C91" s="185"/>
      <c r="D91" s="185"/>
      <c r="G91" s="185"/>
      <c r="I91" s="185"/>
    </row>
    <row r="92" spans="2:9">
      <c r="B92" s="185"/>
      <c r="C92" s="185"/>
      <c r="D92" s="185"/>
      <c r="G92" s="185"/>
      <c r="I92" s="185"/>
    </row>
    <row r="93" spans="2:9">
      <c r="B93" s="185"/>
      <c r="C93" s="185"/>
      <c r="D93" s="185"/>
      <c r="G93" s="185"/>
      <c r="I93" s="185"/>
    </row>
    <row r="94" spans="2:9">
      <c r="B94" s="185"/>
      <c r="C94" s="185"/>
      <c r="D94" s="185"/>
      <c r="G94" s="185"/>
      <c r="I94" s="185"/>
    </row>
    <row r="95" spans="2:9">
      <c r="B95" s="185"/>
      <c r="C95" s="185"/>
      <c r="D95" s="185"/>
      <c r="G95" s="185"/>
      <c r="I95" s="185"/>
    </row>
    <row r="96" spans="2:9">
      <c r="B96" s="185"/>
      <c r="C96" s="185"/>
      <c r="D96" s="185"/>
      <c r="G96" s="185"/>
      <c r="I96" s="185"/>
    </row>
    <row r="97" spans="2:9">
      <c r="B97" s="185"/>
      <c r="C97" s="185"/>
      <c r="D97" s="185"/>
      <c r="G97" s="185"/>
      <c r="I97" s="185"/>
    </row>
    <row r="98" spans="2:9">
      <c r="B98" s="185"/>
      <c r="C98" s="185"/>
      <c r="D98" s="185"/>
      <c r="G98" s="185"/>
      <c r="I98" s="185"/>
    </row>
    <row r="99" spans="2:9">
      <c r="B99" s="185"/>
      <c r="C99" s="185"/>
      <c r="D99" s="185"/>
      <c r="G99" s="185"/>
      <c r="I99" s="185"/>
    </row>
    <row r="100" spans="2:9">
      <c r="B100" s="185"/>
      <c r="C100" s="185"/>
      <c r="D100" s="185"/>
      <c r="G100" s="185"/>
      <c r="I100" s="185"/>
    </row>
    <row r="101" spans="2:9">
      <c r="B101" s="185"/>
      <c r="C101" s="185"/>
      <c r="D101" s="185"/>
      <c r="G101" s="185"/>
      <c r="I101" s="185"/>
    </row>
    <row r="102" spans="2:9">
      <c r="B102" s="185"/>
      <c r="C102" s="185"/>
      <c r="D102" s="185"/>
      <c r="G102" s="185"/>
      <c r="I102" s="185"/>
    </row>
    <row r="103" spans="2:9">
      <c r="B103" s="185"/>
      <c r="C103" s="185"/>
      <c r="D103" s="185"/>
      <c r="G103" s="185"/>
      <c r="I103" s="185"/>
    </row>
    <row r="104" spans="2:9">
      <c r="B104" s="185"/>
      <c r="C104" s="185"/>
      <c r="D104" s="185"/>
      <c r="G104" s="185"/>
      <c r="I104" s="185"/>
    </row>
    <row r="105" spans="2:9">
      <c r="B105" s="185"/>
      <c r="C105" s="185"/>
      <c r="D105" s="185"/>
      <c r="G105" s="185"/>
      <c r="I105" s="185"/>
    </row>
    <row r="106" spans="2:9">
      <c r="B106" s="185"/>
      <c r="C106" s="185"/>
      <c r="D106" s="185"/>
      <c r="G106" s="185"/>
      <c r="I106" s="185"/>
    </row>
    <row r="107" spans="2:9">
      <c r="B107" s="185"/>
      <c r="C107" s="185"/>
      <c r="D107" s="185"/>
      <c r="G107" s="185"/>
      <c r="I107" s="185"/>
    </row>
    <row r="108" spans="2:9">
      <c r="B108" s="185"/>
      <c r="C108" s="185"/>
      <c r="D108" s="185"/>
      <c r="G108" s="185"/>
      <c r="I108" s="185"/>
    </row>
    <row r="109" spans="2:9">
      <c r="B109" s="185"/>
      <c r="C109" s="185"/>
      <c r="D109" s="185"/>
      <c r="G109" s="185"/>
      <c r="I109" s="185"/>
    </row>
    <row r="110" spans="2:9">
      <c r="B110" s="185"/>
      <c r="C110" s="185"/>
      <c r="D110" s="185"/>
      <c r="G110" s="185"/>
      <c r="I110" s="185"/>
    </row>
    <row r="111" spans="2:9">
      <c r="B111" s="185"/>
      <c r="C111" s="185"/>
      <c r="D111" s="185"/>
      <c r="G111" s="185"/>
      <c r="I111" s="185"/>
    </row>
    <row r="112" spans="2:9">
      <c r="B112" s="185"/>
      <c r="C112" s="185"/>
      <c r="D112" s="185"/>
      <c r="G112" s="185"/>
      <c r="I112" s="185"/>
    </row>
    <row r="113" spans="2:9">
      <c r="B113" s="185"/>
      <c r="C113" s="185"/>
      <c r="D113" s="185"/>
      <c r="G113" s="185"/>
      <c r="I113" s="185"/>
    </row>
    <row r="114" spans="2:9">
      <c r="B114" s="185"/>
      <c r="C114" s="185"/>
      <c r="D114" s="185"/>
      <c r="G114" s="185"/>
      <c r="I114" s="185"/>
    </row>
    <row r="115" spans="2:9">
      <c r="B115" s="185"/>
      <c r="C115" s="185"/>
      <c r="D115" s="185"/>
      <c r="G115" s="185"/>
      <c r="I115" s="185"/>
    </row>
    <row r="116" spans="2:9">
      <c r="B116" s="185"/>
      <c r="C116" s="185"/>
      <c r="D116" s="185"/>
      <c r="G116" s="185"/>
      <c r="I116" s="185"/>
    </row>
    <row r="117" spans="2:9">
      <c r="B117" s="185"/>
      <c r="C117" s="185"/>
      <c r="D117" s="185"/>
      <c r="G117" s="185"/>
      <c r="I117" s="185"/>
    </row>
    <row r="118" spans="2:9">
      <c r="B118" s="185"/>
      <c r="C118" s="185"/>
      <c r="D118" s="185"/>
      <c r="G118" s="185"/>
      <c r="I118" s="185"/>
    </row>
    <row r="119" spans="2:9">
      <c r="B119" s="185"/>
      <c r="C119" s="185"/>
      <c r="D119" s="185"/>
      <c r="G119" s="185"/>
      <c r="I119" s="185"/>
    </row>
    <row r="120" spans="2:9">
      <c r="B120" s="185"/>
      <c r="C120" s="185"/>
      <c r="D120" s="185"/>
      <c r="G120" s="185"/>
      <c r="I120" s="185"/>
    </row>
    <row r="121" spans="2:9">
      <c r="B121" s="185"/>
      <c r="C121" s="185"/>
      <c r="D121" s="185"/>
      <c r="G121" s="185"/>
      <c r="I121" s="185"/>
    </row>
    <row r="122" spans="2:9">
      <c r="B122" s="185"/>
      <c r="C122" s="185"/>
      <c r="D122" s="185"/>
      <c r="G122" s="185"/>
      <c r="I122" s="185"/>
    </row>
    <row r="123" spans="2:9">
      <c r="B123" s="185"/>
      <c r="C123" s="185"/>
      <c r="D123" s="185"/>
      <c r="G123" s="185"/>
      <c r="I123" s="185"/>
    </row>
    <row r="124" spans="2:9">
      <c r="B124" s="185"/>
      <c r="C124" s="185"/>
      <c r="D124" s="185"/>
      <c r="G124" s="185"/>
      <c r="I124" s="185"/>
    </row>
    <row r="125" spans="2:9">
      <c r="B125" s="185"/>
      <c r="C125" s="185"/>
      <c r="D125" s="185"/>
      <c r="G125" s="185"/>
      <c r="I125" s="185"/>
    </row>
    <row r="126" spans="2:9">
      <c r="B126" s="185"/>
      <c r="C126" s="185"/>
      <c r="D126" s="185"/>
      <c r="G126" s="185"/>
      <c r="I126" s="185"/>
    </row>
    <row r="127" spans="2:9">
      <c r="B127" s="185"/>
      <c r="C127" s="185"/>
      <c r="D127" s="185"/>
      <c r="G127" s="185"/>
      <c r="I127" s="185"/>
    </row>
    <row r="128" spans="2:9">
      <c r="B128" s="185"/>
      <c r="C128" s="185"/>
      <c r="D128" s="185"/>
      <c r="G128" s="185"/>
      <c r="I128" s="185"/>
    </row>
    <row r="129" spans="2:9">
      <c r="B129" s="185"/>
      <c r="C129" s="185"/>
      <c r="D129" s="185"/>
      <c r="G129" s="185"/>
      <c r="I129" s="185"/>
    </row>
    <row r="130" spans="2:9">
      <c r="B130" s="185"/>
      <c r="C130" s="185"/>
      <c r="D130" s="185"/>
      <c r="G130" s="185"/>
      <c r="I130" s="185"/>
    </row>
    <row r="131" spans="2:9">
      <c r="B131" s="185"/>
      <c r="C131" s="185"/>
      <c r="D131" s="185"/>
      <c r="G131" s="185"/>
      <c r="I131" s="185"/>
    </row>
    <row r="132" spans="2:9">
      <c r="B132" s="185"/>
      <c r="C132" s="185"/>
      <c r="D132" s="185"/>
      <c r="G132" s="185"/>
      <c r="I132" s="185"/>
    </row>
    <row r="133" spans="2:9">
      <c r="B133" s="185"/>
      <c r="C133" s="185"/>
      <c r="D133" s="185"/>
      <c r="G133" s="185"/>
      <c r="I133" s="185"/>
    </row>
    <row r="134" spans="2:9">
      <c r="B134" s="185"/>
      <c r="C134" s="185"/>
      <c r="D134" s="185"/>
      <c r="G134" s="185"/>
      <c r="I134" s="185"/>
    </row>
    <row r="135" spans="2:9">
      <c r="B135" s="185"/>
      <c r="C135" s="185"/>
      <c r="D135" s="185"/>
      <c r="G135" s="185"/>
      <c r="I135" s="185"/>
    </row>
    <row r="136" spans="2:9">
      <c r="B136" s="185"/>
      <c r="C136" s="185"/>
      <c r="D136" s="185"/>
      <c r="G136" s="185"/>
      <c r="I136" s="185"/>
    </row>
    <row r="137" spans="2:9">
      <c r="B137" s="185"/>
      <c r="C137" s="185"/>
      <c r="D137" s="185"/>
      <c r="G137" s="185"/>
      <c r="I137" s="185"/>
    </row>
    <row r="138" spans="2:9">
      <c r="B138" s="185"/>
      <c r="C138" s="185"/>
      <c r="D138" s="185"/>
      <c r="G138" s="185"/>
      <c r="I138" s="185"/>
    </row>
    <row r="139" spans="2:9">
      <c r="B139" s="185"/>
      <c r="C139" s="185"/>
      <c r="D139" s="185"/>
      <c r="G139" s="185"/>
      <c r="I139" s="185"/>
    </row>
    <row r="140" spans="2:9">
      <c r="B140" s="185"/>
      <c r="C140" s="185"/>
      <c r="D140" s="185"/>
      <c r="G140" s="185"/>
      <c r="I140" s="185"/>
    </row>
    <row r="141" spans="2:9">
      <c r="B141" s="185"/>
      <c r="C141" s="185"/>
      <c r="D141" s="185"/>
      <c r="G141" s="185"/>
      <c r="I141" s="185"/>
    </row>
    <row r="142" spans="2:9">
      <c r="B142" s="185"/>
      <c r="C142" s="185"/>
      <c r="D142" s="185"/>
      <c r="G142" s="185"/>
      <c r="I142" s="185"/>
    </row>
    <row r="143" spans="2:9">
      <c r="B143" s="185"/>
      <c r="C143" s="185"/>
      <c r="D143" s="185"/>
      <c r="G143" s="185"/>
      <c r="I143" s="185"/>
    </row>
    <row r="144" spans="2:9">
      <c r="B144" s="185"/>
      <c r="C144" s="185"/>
      <c r="D144" s="185"/>
      <c r="G144" s="185"/>
      <c r="I144" s="185"/>
    </row>
    <row r="145" spans="2:9">
      <c r="B145" s="185"/>
      <c r="C145" s="185"/>
      <c r="D145" s="185"/>
      <c r="G145" s="185"/>
      <c r="I145" s="185"/>
    </row>
    <row r="146" spans="2:9">
      <c r="B146" s="185"/>
      <c r="C146" s="185"/>
      <c r="D146" s="185"/>
      <c r="G146" s="185"/>
      <c r="I146" s="185"/>
    </row>
    <row r="147" spans="2:9">
      <c r="B147" s="185"/>
      <c r="C147" s="185"/>
      <c r="D147" s="185"/>
      <c r="G147" s="185"/>
      <c r="I147" s="185"/>
    </row>
    <row r="148" spans="2:9">
      <c r="B148" s="185"/>
      <c r="C148" s="185"/>
      <c r="D148" s="185"/>
      <c r="G148" s="185"/>
      <c r="I148" s="185"/>
    </row>
    <row r="149" spans="2:9">
      <c r="B149" s="185"/>
      <c r="C149" s="185"/>
      <c r="D149" s="185"/>
      <c r="G149" s="185"/>
      <c r="I149" s="185"/>
    </row>
    <row r="150" spans="2:9">
      <c r="B150" s="185"/>
      <c r="C150" s="185"/>
      <c r="D150" s="185"/>
      <c r="G150" s="185"/>
      <c r="I150" s="185"/>
    </row>
    <row r="151" spans="2:9">
      <c r="B151" s="185"/>
      <c r="C151" s="185"/>
      <c r="D151" s="185"/>
      <c r="G151" s="185"/>
      <c r="I151" s="185"/>
    </row>
    <row r="152" spans="2:9">
      <c r="B152" s="185"/>
      <c r="C152" s="185"/>
      <c r="D152" s="185"/>
      <c r="G152" s="185"/>
      <c r="I152" s="185"/>
    </row>
    <row r="153" spans="2:9">
      <c r="B153" s="185"/>
      <c r="C153" s="185"/>
      <c r="D153" s="185"/>
      <c r="G153" s="185"/>
      <c r="I153" s="185"/>
    </row>
    <row r="154" spans="2:9">
      <c r="B154" s="185"/>
      <c r="C154" s="185"/>
      <c r="D154" s="185"/>
      <c r="G154" s="185"/>
      <c r="I154" s="185"/>
    </row>
    <row r="155" spans="2:9">
      <c r="B155" s="185"/>
      <c r="C155" s="185"/>
      <c r="D155" s="185"/>
      <c r="G155" s="185"/>
      <c r="I155" s="185"/>
    </row>
    <row r="156" spans="2:9">
      <c r="B156" s="185"/>
      <c r="C156" s="185"/>
      <c r="D156" s="185"/>
      <c r="G156" s="185"/>
      <c r="I156" s="185"/>
    </row>
    <row r="157" spans="2:9">
      <c r="B157" s="185"/>
      <c r="C157" s="185"/>
      <c r="D157" s="185"/>
      <c r="G157" s="185"/>
      <c r="I157" s="185"/>
    </row>
    <row r="158" spans="2:9">
      <c r="B158" s="185"/>
      <c r="C158" s="185"/>
      <c r="D158" s="185"/>
      <c r="G158" s="185"/>
      <c r="I158" s="185"/>
    </row>
    <row r="159" spans="2:9">
      <c r="B159" s="185"/>
      <c r="C159" s="185"/>
      <c r="D159" s="185"/>
      <c r="G159" s="185"/>
      <c r="I159" s="185"/>
    </row>
    <row r="160" spans="2:9">
      <c r="B160" s="185"/>
      <c r="C160" s="185"/>
      <c r="D160" s="185"/>
      <c r="G160" s="185"/>
      <c r="I160" s="185"/>
    </row>
    <row r="161" spans="2:9">
      <c r="B161" s="185"/>
      <c r="C161" s="185"/>
      <c r="D161" s="185"/>
      <c r="G161" s="185"/>
      <c r="I161" s="185"/>
    </row>
    <row r="162" spans="2:9">
      <c r="B162" s="185"/>
      <c r="C162" s="185"/>
      <c r="D162" s="185"/>
      <c r="G162" s="185"/>
      <c r="I162" s="185"/>
    </row>
    <row r="163" spans="2:9">
      <c r="B163" s="185"/>
      <c r="C163" s="185"/>
      <c r="D163" s="185"/>
      <c r="G163" s="185"/>
      <c r="I163" s="185"/>
    </row>
    <row r="164" spans="2:9">
      <c r="B164" s="185"/>
      <c r="C164" s="185"/>
      <c r="D164" s="185"/>
      <c r="G164" s="185"/>
      <c r="I164" s="185"/>
    </row>
    <row r="165" spans="2:9">
      <c r="B165" s="185"/>
      <c r="C165" s="185"/>
      <c r="D165" s="185"/>
      <c r="G165" s="185"/>
      <c r="I165" s="185"/>
    </row>
    <row r="166" spans="2:9">
      <c r="B166" s="185"/>
      <c r="C166" s="185"/>
      <c r="D166" s="185"/>
      <c r="G166" s="185"/>
      <c r="I166" s="185"/>
    </row>
    <row r="167" spans="2:9">
      <c r="B167" s="185"/>
      <c r="C167" s="185"/>
      <c r="D167" s="185"/>
      <c r="G167" s="185"/>
      <c r="I167" s="185"/>
    </row>
    <row r="168" spans="2:9">
      <c r="B168" s="185"/>
      <c r="C168" s="185"/>
      <c r="D168" s="185"/>
      <c r="G168" s="185"/>
      <c r="I168" s="185"/>
    </row>
    <row r="169" spans="2:9">
      <c r="B169" s="185"/>
      <c r="C169" s="185"/>
      <c r="D169" s="185"/>
      <c r="G169" s="185"/>
      <c r="I169" s="185"/>
    </row>
    <row r="170" spans="2:9">
      <c r="B170" s="185"/>
      <c r="C170" s="185"/>
      <c r="D170" s="185"/>
      <c r="G170" s="185"/>
      <c r="I170" s="185"/>
    </row>
    <row r="171" spans="2:9">
      <c r="B171" s="185"/>
      <c r="C171" s="185"/>
      <c r="D171" s="185"/>
      <c r="G171" s="185"/>
      <c r="I171" s="185"/>
    </row>
    <row r="172" spans="2:9">
      <c r="B172" s="185"/>
      <c r="C172" s="185"/>
      <c r="D172" s="185"/>
      <c r="G172" s="185"/>
      <c r="I172" s="185"/>
    </row>
    <row r="173" spans="2:9">
      <c r="B173" s="185"/>
      <c r="C173" s="185"/>
      <c r="D173" s="185"/>
      <c r="G173" s="185"/>
      <c r="I173" s="185"/>
    </row>
    <row r="174" spans="2:9">
      <c r="B174" s="185"/>
      <c r="C174" s="185"/>
      <c r="D174" s="185"/>
      <c r="G174" s="185"/>
      <c r="I174" s="185"/>
    </row>
    <row r="175" spans="2:9">
      <c r="B175" s="185"/>
      <c r="C175" s="185"/>
      <c r="D175" s="185"/>
      <c r="G175" s="185"/>
      <c r="I175" s="185"/>
    </row>
    <row r="176" spans="2:9">
      <c r="B176" s="185"/>
      <c r="C176" s="185"/>
      <c r="D176" s="185"/>
      <c r="G176" s="185"/>
      <c r="I176" s="185"/>
    </row>
    <row r="177" spans="2:9">
      <c r="B177" s="185"/>
      <c r="C177" s="185"/>
      <c r="D177" s="185"/>
      <c r="G177" s="185"/>
      <c r="I177" s="185"/>
    </row>
    <row r="178" spans="2:9">
      <c r="B178" s="185"/>
      <c r="C178" s="185"/>
      <c r="D178" s="185"/>
      <c r="G178" s="185"/>
      <c r="I178" s="185"/>
    </row>
    <row r="179" spans="2:9">
      <c r="B179" s="185"/>
      <c r="C179" s="185"/>
      <c r="D179" s="185"/>
      <c r="G179" s="185"/>
      <c r="I179" s="185"/>
    </row>
    <row r="180" spans="2:9">
      <c r="B180" s="185"/>
      <c r="C180" s="185"/>
      <c r="D180" s="185"/>
      <c r="G180" s="185"/>
      <c r="I180" s="185"/>
    </row>
    <row r="181" spans="2:9">
      <c r="B181" s="185"/>
      <c r="C181" s="185"/>
      <c r="D181" s="185"/>
      <c r="G181" s="185"/>
      <c r="I181" s="185"/>
    </row>
    <row r="182" spans="2:9">
      <c r="B182" s="185"/>
      <c r="C182" s="185"/>
      <c r="D182" s="185"/>
      <c r="G182" s="185"/>
      <c r="I182" s="185"/>
    </row>
    <row r="183" spans="2:9">
      <c r="B183" s="185"/>
      <c r="C183" s="185"/>
      <c r="D183" s="185"/>
      <c r="G183" s="185"/>
      <c r="I183" s="185"/>
    </row>
    <row r="184" spans="2:9">
      <c r="B184" s="185"/>
      <c r="C184" s="185"/>
      <c r="D184" s="185"/>
      <c r="G184" s="185"/>
      <c r="I184" s="185"/>
    </row>
    <row r="185" spans="2:9">
      <c r="B185" s="185"/>
      <c r="C185" s="185"/>
      <c r="D185" s="185"/>
      <c r="G185" s="185"/>
      <c r="I185" s="185"/>
    </row>
    <row r="186" spans="2:9">
      <c r="B186" s="185"/>
      <c r="C186" s="185"/>
      <c r="D186" s="185"/>
      <c r="G186" s="185"/>
      <c r="I186" s="185"/>
    </row>
    <row r="187" spans="2:9">
      <c r="B187" s="185"/>
      <c r="C187" s="185"/>
      <c r="D187" s="185"/>
      <c r="G187" s="185"/>
      <c r="I187" s="185"/>
    </row>
    <row r="188" spans="2:9">
      <c r="B188" s="185"/>
      <c r="C188" s="185"/>
      <c r="D188" s="185"/>
      <c r="G188" s="185"/>
      <c r="I188" s="185"/>
    </row>
    <row r="189" spans="2:9">
      <c r="B189" s="185"/>
      <c r="C189" s="185"/>
      <c r="D189" s="185"/>
      <c r="G189" s="185"/>
      <c r="I189" s="185"/>
    </row>
    <row r="190" spans="2:9">
      <c r="B190" s="185"/>
      <c r="C190" s="185"/>
      <c r="D190" s="185"/>
      <c r="G190" s="185"/>
      <c r="I190" s="185"/>
    </row>
    <row r="191" spans="2:9">
      <c r="B191" s="185"/>
      <c r="C191" s="185"/>
      <c r="D191" s="185"/>
      <c r="G191" s="185"/>
      <c r="I191" s="185"/>
    </row>
    <row r="192" spans="2:9">
      <c r="B192" s="185"/>
      <c r="C192" s="185"/>
      <c r="D192" s="185"/>
      <c r="G192" s="185"/>
      <c r="I192" s="185"/>
    </row>
    <row r="193" spans="2:9">
      <c r="B193" s="185"/>
      <c r="C193" s="185"/>
      <c r="D193" s="185"/>
      <c r="G193" s="185"/>
      <c r="I193" s="185"/>
    </row>
    <row r="194" spans="2:9">
      <c r="B194" s="185"/>
      <c r="C194" s="185"/>
      <c r="D194" s="185"/>
      <c r="G194" s="185"/>
      <c r="I194" s="185"/>
    </row>
    <row r="195" spans="2:9">
      <c r="B195" s="185"/>
      <c r="C195" s="185"/>
      <c r="D195" s="185"/>
      <c r="G195" s="185"/>
      <c r="I195" s="185"/>
    </row>
    <row r="196" spans="2:9">
      <c r="B196" s="185"/>
      <c r="C196" s="185"/>
      <c r="D196" s="185"/>
      <c r="G196" s="185"/>
      <c r="I196" s="185"/>
    </row>
    <row r="197" spans="2:9">
      <c r="B197" s="185"/>
      <c r="C197" s="185"/>
      <c r="D197" s="185"/>
      <c r="G197" s="185"/>
      <c r="I197" s="185"/>
    </row>
    <row r="198" spans="2:9">
      <c r="B198" s="185"/>
      <c r="C198" s="185"/>
      <c r="D198" s="185"/>
      <c r="G198" s="185"/>
      <c r="I198" s="185"/>
    </row>
    <row r="199" spans="2:9">
      <c r="B199" s="185"/>
      <c r="C199" s="185"/>
      <c r="D199" s="185"/>
      <c r="G199" s="185"/>
      <c r="I199" s="185"/>
    </row>
    <row r="200" spans="2:9">
      <c r="B200" s="185"/>
      <c r="C200" s="185"/>
      <c r="D200" s="185"/>
      <c r="G200" s="185"/>
      <c r="I200" s="185"/>
    </row>
    <row r="201" spans="2:9">
      <c r="B201" s="185"/>
      <c r="C201" s="185"/>
      <c r="D201" s="185"/>
      <c r="G201" s="185"/>
      <c r="I201" s="185"/>
    </row>
    <row r="202" spans="2:9">
      <c r="B202" s="185"/>
      <c r="C202" s="185"/>
      <c r="D202" s="185"/>
      <c r="G202" s="185"/>
      <c r="I202" s="185"/>
    </row>
    <row r="203" spans="2:9">
      <c r="B203" s="185"/>
      <c r="C203" s="185"/>
      <c r="D203" s="185"/>
      <c r="G203" s="185"/>
      <c r="I203" s="185"/>
    </row>
    <row r="204" spans="2:9">
      <c r="B204" s="185"/>
      <c r="C204" s="185"/>
      <c r="D204" s="185"/>
      <c r="G204" s="185"/>
      <c r="I204" s="185"/>
    </row>
    <row r="205" spans="2:9">
      <c r="B205" s="185"/>
      <c r="C205" s="185"/>
      <c r="D205" s="185"/>
      <c r="G205" s="185"/>
      <c r="I205" s="185"/>
    </row>
    <row r="206" spans="2:9">
      <c r="B206" s="185"/>
      <c r="C206" s="185"/>
      <c r="D206" s="185"/>
      <c r="G206" s="185"/>
      <c r="I206" s="185"/>
    </row>
    <row r="207" spans="2:9">
      <c r="B207" s="185"/>
      <c r="C207" s="185"/>
      <c r="D207" s="185"/>
      <c r="G207" s="185"/>
      <c r="I207" s="185"/>
    </row>
    <row r="208" spans="2:9">
      <c r="B208" s="185"/>
      <c r="C208" s="185"/>
      <c r="D208" s="185"/>
      <c r="G208" s="185"/>
      <c r="I208" s="185"/>
    </row>
    <row r="209" spans="2:9">
      <c r="B209" s="185"/>
      <c r="C209" s="185"/>
      <c r="D209" s="185"/>
      <c r="G209" s="185"/>
      <c r="I209" s="185"/>
    </row>
    <row r="210" spans="2:9">
      <c r="B210" s="185"/>
      <c r="C210" s="185"/>
      <c r="D210" s="185"/>
      <c r="G210" s="185"/>
      <c r="I210" s="185"/>
    </row>
    <row r="211" spans="2:9">
      <c r="B211" s="185"/>
      <c r="C211" s="185"/>
      <c r="D211" s="185"/>
      <c r="G211" s="185"/>
      <c r="I211" s="185"/>
    </row>
    <row r="212" spans="2:9">
      <c r="B212" s="185"/>
      <c r="C212" s="185"/>
      <c r="D212" s="185"/>
      <c r="G212" s="185"/>
      <c r="I212" s="185"/>
    </row>
    <row r="213" spans="2:9">
      <c r="B213" s="185"/>
      <c r="C213" s="185"/>
      <c r="D213" s="185"/>
      <c r="G213" s="185"/>
      <c r="I213" s="185"/>
    </row>
    <row r="214" spans="2:9">
      <c r="B214" s="185"/>
      <c r="C214" s="185"/>
      <c r="D214" s="185"/>
      <c r="G214" s="185"/>
      <c r="I214" s="185"/>
    </row>
    <row r="215" spans="2:9">
      <c r="B215" s="185"/>
      <c r="C215" s="185"/>
      <c r="D215" s="185"/>
      <c r="G215" s="185"/>
      <c r="I215" s="185"/>
    </row>
    <row r="216" spans="2:9">
      <c r="B216" s="185"/>
      <c r="C216" s="185"/>
      <c r="D216" s="185"/>
      <c r="G216" s="185"/>
      <c r="I216" s="185"/>
    </row>
    <row r="217" spans="2:9">
      <c r="B217" s="185"/>
      <c r="C217" s="185"/>
      <c r="D217" s="185"/>
      <c r="G217" s="185"/>
      <c r="I217" s="185"/>
    </row>
    <row r="218" spans="2:9">
      <c r="B218" s="185"/>
      <c r="C218" s="185"/>
      <c r="D218" s="185"/>
      <c r="G218" s="185"/>
      <c r="I218" s="185"/>
    </row>
  </sheetData>
  <mergeCells count="45">
    <mergeCell ref="B3:B11"/>
    <mergeCell ref="C3:C11"/>
    <mergeCell ref="J1:K1"/>
    <mergeCell ref="A1:A2"/>
    <mergeCell ref="B1:B2"/>
    <mergeCell ref="C1:C2"/>
    <mergeCell ref="D1:D2"/>
    <mergeCell ref="E1:E2"/>
    <mergeCell ref="F1:F2"/>
    <mergeCell ref="G1:H1"/>
    <mergeCell ref="I1:I2"/>
    <mergeCell ref="I21:I29"/>
    <mergeCell ref="D21:D29"/>
    <mergeCell ref="E3:E11"/>
    <mergeCell ref="I30:I38"/>
    <mergeCell ref="D30:D38"/>
    <mergeCell ref="I12:I20"/>
    <mergeCell ref="D12:D20"/>
    <mergeCell ref="G3:G11"/>
    <mergeCell ref="E12:E20"/>
    <mergeCell ref="G12:G20"/>
    <mergeCell ref="I3:I11"/>
    <mergeCell ref="D3:D11"/>
    <mergeCell ref="B30:B38"/>
    <mergeCell ref="C30:C38"/>
    <mergeCell ref="E30:E38"/>
    <mergeCell ref="G30:G38"/>
    <mergeCell ref="B12:B20"/>
    <mergeCell ref="C12:C20"/>
    <mergeCell ref="B21:B29"/>
    <mergeCell ref="C21:C29"/>
    <mergeCell ref="E21:E29"/>
    <mergeCell ref="G21:G29"/>
    <mergeCell ref="I48:I56"/>
    <mergeCell ref="D48:D56"/>
    <mergeCell ref="B39:B47"/>
    <mergeCell ref="C39:C47"/>
    <mergeCell ref="E39:E47"/>
    <mergeCell ref="G39:G47"/>
    <mergeCell ref="I39:I47"/>
    <mergeCell ref="D39:D47"/>
    <mergeCell ref="B48:B56"/>
    <mergeCell ref="C48:C56"/>
    <mergeCell ref="E48:E56"/>
    <mergeCell ref="G48:G56"/>
  </mergeCells>
  <dataValidations count="1">
    <dataValidation allowBlank="1" showInputMessage="1" showErrorMessage="1" sqref="D1:D2" xr:uid="{53B531C4-0356-4907-B8CD-FC6797875842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B68C77B-9A37-4635-A837-C32B43C9002D}">
          <x14:formula1>
            <xm:f>'DATA - IKKE RØR'!$A$7:$A$9</xm:f>
          </x14:formula1>
          <xm:sqref>B3 B12 B21 B30 B39 B48</xm:sqref>
        </x14:dataValidation>
        <x14:dataValidation type="list" allowBlank="1" showInputMessage="1" showErrorMessage="1" xr:uid="{09A71B8E-B8B9-48A6-AB98-8882AE2202D7}">
          <x14:formula1>
            <xm:f>'DATA - IKKE RØR'!$A$11:$A$20</xm:f>
          </x14:formula1>
          <xm:sqref>F3:F56</xm:sqref>
        </x14:dataValidation>
        <x14:dataValidation type="list" allowBlank="1" showInputMessage="1" showErrorMessage="1" xr:uid="{ABD7C8A0-4DE9-42DA-8ED3-53735E680A93}">
          <x14:formula1>
            <xm:f>'DATA - IKKE RØR'!$A$3:$A$5</xm:f>
          </x14:formula1>
          <xm:sqref>C3:C56</xm:sqref>
        </x14:dataValidation>
        <x14:dataValidation type="list" allowBlank="1" showInputMessage="1" showErrorMessage="1" xr:uid="{0931F821-C3F5-4FE0-81AC-3E1135FB70FC}">
          <x14:formula1>
            <xm:f>'DATA - IKKE RØR'!$M$3:$M$4</xm:f>
          </x14:formula1>
          <xm:sqref>D3:D56</xm:sqref>
        </x14:dataValidation>
        <x14:dataValidation type="list" allowBlank="1" showInputMessage="1" showErrorMessage="1" xr:uid="{FC2795B4-E478-4887-A48E-A84120A4A961}">
          <x14:formula1>
            <xm:f>'DATA - IKKE RØR'!$L$3:$L$8</xm:f>
          </x14:formula1>
          <xm:sqref>E3:E56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05DE-DD2E-4E6E-9C52-BD26656A18B6}">
  <sheetPr>
    <tabColor rgb="FF00B0F0"/>
  </sheetPr>
  <dimension ref="A1:K74"/>
  <sheetViews>
    <sheetView tabSelected="1" workbookViewId="0">
      <pane ySplit="2" topLeftCell="A3" activePane="bottomLeft" state="frozen"/>
      <selection pane="bottomLeft" activeCell="A3" sqref="A3:A56"/>
    </sheetView>
  </sheetViews>
  <sheetFormatPr defaultRowHeight="15"/>
  <cols>
    <col min="1" max="1" width="8" customWidth="1"/>
    <col min="2" max="2" width="12.28515625" style="42" customWidth="1"/>
    <col min="3" max="3" width="11.42578125" style="42" customWidth="1"/>
    <col min="4" max="4" width="11.7109375" style="42" bestFit="1" customWidth="1"/>
    <col min="5" max="5" width="16.7109375" customWidth="1"/>
    <col min="6" max="6" width="12.140625" bestFit="1" customWidth="1"/>
    <col min="7" max="7" width="15.5703125" style="42" bestFit="1" customWidth="1"/>
    <col min="8" max="8" width="15.5703125" bestFit="1" customWidth="1"/>
    <col min="9" max="9" width="16.42578125" style="42" customWidth="1"/>
    <col min="10" max="10" width="34.85546875" customWidth="1"/>
    <col min="11" max="11" width="33.5703125" customWidth="1"/>
    <col min="12" max="12" width="9.42578125" customWidth="1"/>
    <col min="13" max="14" width="11.140625" bestFit="1" customWidth="1"/>
    <col min="16" max="16" width="17.28515625" bestFit="1" customWidth="1"/>
  </cols>
  <sheetData>
    <row r="1" spans="1:11" ht="20.100000000000001" customHeight="1">
      <c r="A1" s="219" t="s">
        <v>102</v>
      </c>
      <c r="B1" s="221" t="s">
        <v>103</v>
      </c>
      <c r="C1" s="221" t="s">
        <v>104</v>
      </c>
      <c r="D1" s="221" t="s">
        <v>10</v>
      </c>
      <c r="E1" s="221" t="s">
        <v>9</v>
      </c>
      <c r="F1" s="212" t="s">
        <v>105</v>
      </c>
      <c r="G1" s="231" t="s">
        <v>106</v>
      </c>
      <c r="H1" s="232"/>
      <c r="I1" s="212" t="s">
        <v>107</v>
      </c>
      <c r="J1" s="233" t="s">
        <v>108</v>
      </c>
      <c r="K1" s="217"/>
    </row>
    <row r="2" spans="1:11" ht="20.100000000000001" customHeight="1">
      <c r="A2" s="220"/>
      <c r="B2" s="222"/>
      <c r="C2" s="222"/>
      <c r="D2" s="222"/>
      <c r="E2" s="222"/>
      <c r="F2" s="213"/>
      <c r="G2" s="23" t="s">
        <v>109</v>
      </c>
      <c r="H2" s="14" t="s">
        <v>110</v>
      </c>
      <c r="I2" s="213"/>
      <c r="J2" s="15" t="s">
        <v>111</v>
      </c>
      <c r="K2" s="15" t="s">
        <v>112</v>
      </c>
    </row>
    <row r="3" spans="1:11">
      <c r="A3" s="62">
        <v>244</v>
      </c>
      <c r="B3" s="235" t="s">
        <v>29</v>
      </c>
      <c r="C3" s="238" t="s">
        <v>11</v>
      </c>
      <c r="D3" s="203" t="s">
        <v>24</v>
      </c>
      <c r="E3" s="247" t="s">
        <v>26</v>
      </c>
      <c r="F3" s="189" t="s">
        <v>40</v>
      </c>
      <c r="G3" s="196" t="s">
        <v>196</v>
      </c>
      <c r="H3" s="28" t="s">
        <v>197</v>
      </c>
      <c r="I3" s="196">
        <v>15990</v>
      </c>
      <c r="J3" s="188">
        <v>189.71470600000001</v>
      </c>
      <c r="K3" s="188">
        <v>21.869515</v>
      </c>
    </row>
    <row r="4" spans="1:11">
      <c r="A4" s="62">
        <v>245</v>
      </c>
      <c r="B4" s="235"/>
      <c r="C4" s="238"/>
      <c r="D4" s="235"/>
      <c r="E4" s="241"/>
      <c r="F4" s="189" t="s">
        <v>40</v>
      </c>
      <c r="G4" s="196"/>
      <c r="H4" s="28" t="s">
        <v>198</v>
      </c>
      <c r="I4" s="196"/>
      <c r="J4" s="188">
        <v>189.780686</v>
      </c>
      <c r="K4" s="188">
        <v>21.870076000000001</v>
      </c>
    </row>
    <row r="5" spans="1:11">
      <c r="A5" s="62">
        <v>246</v>
      </c>
      <c r="B5" s="235"/>
      <c r="C5" s="238"/>
      <c r="D5" s="235"/>
      <c r="E5" s="241"/>
      <c r="F5" s="189" t="s">
        <v>40</v>
      </c>
      <c r="G5" s="196"/>
      <c r="H5" s="28" t="s">
        <v>199</v>
      </c>
      <c r="I5" s="196"/>
      <c r="J5" s="188">
        <v>190.04437300000001</v>
      </c>
      <c r="K5" s="188">
        <v>21.872318</v>
      </c>
    </row>
    <row r="6" spans="1:11">
      <c r="A6" s="63">
        <v>247</v>
      </c>
      <c r="B6" s="235"/>
      <c r="C6" s="238"/>
      <c r="D6" s="235"/>
      <c r="E6" s="241"/>
      <c r="F6" s="192" t="s">
        <v>42</v>
      </c>
      <c r="G6" s="196"/>
      <c r="H6" s="26" t="s">
        <v>197</v>
      </c>
      <c r="I6" s="196"/>
      <c r="J6" s="25">
        <v>935.13331300000004</v>
      </c>
      <c r="K6" s="25">
        <v>52.714033999999998</v>
      </c>
    </row>
    <row r="7" spans="1:11">
      <c r="A7" s="63">
        <v>248</v>
      </c>
      <c r="B7" s="235"/>
      <c r="C7" s="238"/>
      <c r="D7" s="235"/>
      <c r="E7" s="241"/>
      <c r="F7" s="192" t="s">
        <v>42</v>
      </c>
      <c r="G7" s="196"/>
      <c r="H7" s="26" t="s">
        <v>198</v>
      </c>
      <c r="I7" s="196"/>
      <c r="J7" s="25">
        <v>935.479105</v>
      </c>
      <c r="K7" s="25">
        <v>52.723666999999999</v>
      </c>
    </row>
    <row r="8" spans="1:11">
      <c r="A8" s="63">
        <v>249</v>
      </c>
      <c r="B8" s="235"/>
      <c r="C8" s="238"/>
      <c r="D8" s="235"/>
      <c r="E8" s="241"/>
      <c r="F8" s="192" t="s">
        <v>42</v>
      </c>
      <c r="G8" s="196"/>
      <c r="H8" s="26" t="s">
        <v>199</v>
      </c>
      <c r="I8" s="196"/>
      <c r="J8" s="25">
        <v>936.86099400000001</v>
      </c>
      <c r="K8" s="25">
        <v>52.762157000000002</v>
      </c>
    </row>
    <row r="9" spans="1:11">
      <c r="A9" s="46">
        <v>250</v>
      </c>
      <c r="B9" s="235"/>
      <c r="C9" s="238"/>
      <c r="D9" s="235"/>
      <c r="E9" s="241"/>
      <c r="F9" s="193" t="s">
        <v>47</v>
      </c>
      <c r="G9" s="196"/>
      <c r="H9" s="29" t="s">
        <v>197</v>
      </c>
      <c r="I9" s="196"/>
      <c r="J9" s="24">
        <v>1789.3049149999999</v>
      </c>
      <c r="K9" s="24">
        <v>80.357744999999994</v>
      </c>
    </row>
    <row r="10" spans="1:11">
      <c r="A10" s="46">
        <v>251</v>
      </c>
      <c r="B10" s="235"/>
      <c r="C10" s="238"/>
      <c r="D10" s="235"/>
      <c r="E10" s="241"/>
      <c r="F10" s="193" t="s">
        <v>47</v>
      </c>
      <c r="G10" s="196"/>
      <c r="H10" s="29" t="s">
        <v>198</v>
      </c>
      <c r="I10" s="196"/>
      <c r="J10" s="74">
        <v>1789.9683500000001</v>
      </c>
      <c r="K10" s="24">
        <v>80.373588999999996</v>
      </c>
    </row>
    <row r="11" spans="1:11">
      <c r="A11" s="47">
        <v>252</v>
      </c>
      <c r="B11" s="236"/>
      <c r="C11" s="239"/>
      <c r="D11" s="236"/>
      <c r="E11" s="242"/>
      <c r="F11" s="194" t="s">
        <v>47</v>
      </c>
      <c r="G11" s="197"/>
      <c r="H11" s="30" t="s">
        <v>199</v>
      </c>
      <c r="I11" s="197"/>
      <c r="J11" s="31">
        <v>1792.6196319999999</v>
      </c>
      <c r="K11" s="31">
        <v>80.436892999999998</v>
      </c>
    </row>
    <row r="12" spans="1:11" ht="15" customHeight="1">
      <c r="A12" s="62">
        <v>253</v>
      </c>
      <c r="B12" s="235" t="s">
        <v>29</v>
      </c>
      <c r="C12" s="238" t="s">
        <v>11</v>
      </c>
      <c r="D12" s="203" t="s">
        <v>24</v>
      </c>
      <c r="E12" s="247" t="s">
        <v>26</v>
      </c>
      <c r="F12" s="189" t="s">
        <v>40</v>
      </c>
      <c r="G12" s="196" t="s">
        <v>122</v>
      </c>
      <c r="H12" s="28" t="s">
        <v>200</v>
      </c>
      <c r="I12" s="196">
        <v>15990</v>
      </c>
      <c r="J12" s="188">
        <v>57.894663000000001</v>
      </c>
      <c r="K12" s="188">
        <v>21.022970999999998</v>
      </c>
    </row>
    <row r="13" spans="1:11">
      <c r="A13" s="62">
        <v>254</v>
      </c>
      <c r="B13" s="235"/>
      <c r="C13" s="238"/>
      <c r="D13" s="235"/>
      <c r="E13" s="241"/>
      <c r="F13" s="189" t="s">
        <v>40</v>
      </c>
      <c r="G13" s="196"/>
      <c r="H13" s="28" t="s">
        <v>201</v>
      </c>
      <c r="I13" s="196"/>
      <c r="J13" s="188">
        <v>58.126520999999997</v>
      </c>
      <c r="K13" s="188">
        <v>21.027792999999999</v>
      </c>
    </row>
    <row r="14" spans="1:11">
      <c r="A14" s="62">
        <v>255</v>
      </c>
      <c r="B14" s="235"/>
      <c r="C14" s="238"/>
      <c r="D14" s="235"/>
      <c r="E14" s="241"/>
      <c r="F14" s="189" t="s">
        <v>40</v>
      </c>
      <c r="G14" s="196"/>
      <c r="H14" s="28" t="s">
        <v>202</v>
      </c>
      <c r="I14" s="196"/>
      <c r="J14" s="188">
        <v>59.043545000000002</v>
      </c>
      <c r="K14" s="188">
        <v>21.046720000000001</v>
      </c>
    </row>
    <row r="15" spans="1:11">
      <c r="A15" s="63">
        <v>256</v>
      </c>
      <c r="B15" s="235"/>
      <c r="C15" s="238"/>
      <c r="D15" s="235"/>
      <c r="E15" s="241"/>
      <c r="F15" s="192" t="s">
        <v>42</v>
      </c>
      <c r="G15" s="196"/>
      <c r="H15" s="26" t="s">
        <v>200</v>
      </c>
      <c r="I15" s="196"/>
      <c r="J15" s="25">
        <v>174.55670499999999</v>
      </c>
      <c r="K15" s="25">
        <v>29.259387</v>
      </c>
    </row>
    <row r="16" spans="1:11">
      <c r="A16" s="63">
        <v>257</v>
      </c>
      <c r="B16" s="235"/>
      <c r="C16" s="238"/>
      <c r="D16" s="235"/>
      <c r="E16" s="241"/>
      <c r="F16" s="192" t="s">
        <v>42</v>
      </c>
      <c r="G16" s="196"/>
      <c r="H16" s="26" t="s">
        <v>201</v>
      </c>
      <c r="I16" s="196"/>
      <c r="J16" s="25">
        <v>176.40795399999999</v>
      </c>
      <c r="K16" s="25">
        <v>29.292749000000001</v>
      </c>
    </row>
    <row r="17" spans="1:11">
      <c r="A17" s="63">
        <v>258</v>
      </c>
      <c r="B17" s="235"/>
      <c r="C17" s="238"/>
      <c r="D17" s="235"/>
      <c r="E17" s="241"/>
      <c r="F17" s="192" t="s">
        <v>42</v>
      </c>
      <c r="G17" s="196"/>
      <c r="H17" s="26" t="s">
        <v>202</v>
      </c>
      <c r="I17" s="196"/>
      <c r="J17" s="25">
        <v>183.62523400000001</v>
      </c>
      <c r="K17" s="25">
        <v>29.423393000000001</v>
      </c>
    </row>
    <row r="18" spans="1:11">
      <c r="A18" s="46">
        <v>259</v>
      </c>
      <c r="B18" s="235"/>
      <c r="C18" s="238"/>
      <c r="D18" s="235"/>
      <c r="E18" s="241"/>
      <c r="F18" s="193" t="s">
        <v>47</v>
      </c>
      <c r="G18" s="196"/>
      <c r="H18" s="29" t="s">
        <v>200</v>
      </c>
      <c r="I18" s="196"/>
      <c r="J18" s="24">
        <v>326.89910099999997</v>
      </c>
      <c r="K18" s="24">
        <v>39.844107999999999</v>
      </c>
    </row>
    <row r="19" spans="1:11">
      <c r="A19" s="46">
        <v>260</v>
      </c>
      <c r="B19" s="235"/>
      <c r="C19" s="238"/>
      <c r="D19" s="235"/>
      <c r="E19" s="241"/>
      <c r="F19" s="193" t="s">
        <v>47</v>
      </c>
      <c r="G19" s="196"/>
      <c r="H19" s="29" t="s">
        <v>201</v>
      </c>
      <c r="I19" s="196"/>
      <c r="J19" s="74">
        <v>330.51576</v>
      </c>
      <c r="K19" s="24">
        <v>39.896037999999997</v>
      </c>
    </row>
    <row r="20" spans="1:11">
      <c r="A20" s="47">
        <v>261</v>
      </c>
      <c r="B20" s="236"/>
      <c r="C20" s="239"/>
      <c r="D20" s="236"/>
      <c r="E20" s="242"/>
      <c r="F20" s="194" t="s">
        <v>47</v>
      </c>
      <c r="G20" s="197"/>
      <c r="H20" s="30" t="s">
        <v>202</v>
      </c>
      <c r="I20" s="197"/>
      <c r="J20" s="31">
        <v>344.60220199999998</v>
      </c>
      <c r="K20" s="31">
        <v>40.099317999999997</v>
      </c>
    </row>
    <row r="21" spans="1:11" ht="15" customHeight="1">
      <c r="A21" s="62">
        <v>262</v>
      </c>
      <c r="B21" s="235" t="s">
        <v>29</v>
      </c>
      <c r="C21" s="238" t="s">
        <v>11</v>
      </c>
      <c r="D21" s="203" t="s">
        <v>24</v>
      </c>
      <c r="E21" s="247" t="s">
        <v>26</v>
      </c>
      <c r="F21" s="189" t="s">
        <v>40</v>
      </c>
      <c r="G21" s="196" t="s">
        <v>126</v>
      </c>
      <c r="H21" s="28" t="s">
        <v>203</v>
      </c>
      <c r="I21" s="196">
        <v>15990</v>
      </c>
      <c r="J21" s="188">
        <v>59.462837999999998</v>
      </c>
      <c r="K21" s="188">
        <v>21.440183000000001</v>
      </c>
    </row>
    <row r="22" spans="1:11">
      <c r="A22" s="62">
        <v>263</v>
      </c>
      <c r="B22" s="235"/>
      <c r="C22" s="238"/>
      <c r="D22" s="235"/>
      <c r="E22" s="241"/>
      <c r="F22" s="189" t="s">
        <v>40</v>
      </c>
      <c r="G22" s="196"/>
      <c r="H22" s="28" t="s">
        <v>204</v>
      </c>
      <c r="I22" s="196"/>
      <c r="J22" s="188">
        <v>59.712294999999997</v>
      </c>
      <c r="K22" s="188">
        <v>21.451260000000001</v>
      </c>
    </row>
    <row r="23" spans="1:11">
      <c r="A23" s="62">
        <v>264</v>
      </c>
      <c r="B23" s="235"/>
      <c r="C23" s="238"/>
      <c r="D23" s="235"/>
      <c r="E23" s="241"/>
      <c r="F23" s="189" t="s">
        <v>40</v>
      </c>
      <c r="G23" s="196"/>
      <c r="H23" s="28" t="s">
        <v>205</v>
      </c>
      <c r="I23" s="196"/>
      <c r="J23" s="188">
        <v>60.696904000000004</v>
      </c>
      <c r="K23" s="188">
        <v>21.494702</v>
      </c>
    </row>
    <row r="24" spans="1:11">
      <c r="A24" s="63">
        <v>265</v>
      </c>
      <c r="B24" s="235"/>
      <c r="C24" s="238"/>
      <c r="D24" s="235"/>
      <c r="E24" s="241"/>
      <c r="F24" s="192" t="s">
        <v>42</v>
      </c>
      <c r="G24" s="196"/>
      <c r="H24" s="26" t="s">
        <v>203</v>
      </c>
      <c r="I24" s="196"/>
      <c r="J24" s="25">
        <v>176.56432699999999</v>
      </c>
      <c r="K24" s="25">
        <v>32.990616000000003</v>
      </c>
    </row>
    <row r="25" spans="1:11">
      <c r="A25" s="63">
        <v>266</v>
      </c>
      <c r="B25" s="235"/>
      <c r="C25" s="238"/>
      <c r="D25" s="235"/>
      <c r="E25" s="241"/>
      <c r="F25" s="192" t="s">
        <v>42</v>
      </c>
      <c r="G25" s="196"/>
      <c r="H25" s="26" t="s">
        <v>204</v>
      </c>
      <c r="I25" s="196"/>
      <c r="J25" s="25">
        <v>178.42510899999999</v>
      </c>
      <c r="K25" s="25">
        <v>33.074221000000001</v>
      </c>
    </row>
    <row r="26" spans="1:11">
      <c r="A26" s="63">
        <v>267</v>
      </c>
      <c r="B26" s="235"/>
      <c r="C26" s="238"/>
      <c r="D26" s="235"/>
      <c r="E26" s="241"/>
      <c r="F26" s="192" t="s">
        <v>42</v>
      </c>
      <c r="G26" s="196"/>
      <c r="H26" s="26" t="s">
        <v>205</v>
      </c>
      <c r="I26" s="196"/>
      <c r="J26" s="25">
        <v>185.67856</v>
      </c>
      <c r="K26" s="25">
        <v>33.400517000000001</v>
      </c>
    </row>
    <row r="27" spans="1:11">
      <c r="A27" s="46">
        <v>268</v>
      </c>
      <c r="B27" s="235"/>
      <c r="C27" s="238"/>
      <c r="D27" s="235"/>
      <c r="E27" s="241"/>
      <c r="F27" s="193" t="s">
        <v>47</v>
      </c>
      <c r="G27" s="196"/>
      <c r="H27" s="29" t="s">
        <v>203</v>
      </c>
      <c r="I27" s="196"/>
      <c r="J27" s="24">
        <v>328.942701</v>
      </c>
      <c r="K27" s="24">
        <v>47.877718999999999</v>
      </c>
    </row>
    <row r="28" spans="1:11">
      <c r="A28" s="46">
        <v>269</v>
      </c>
      <c r="B28" s="235"/>
      <c r="C28" s="238"/>
      <c r="D28" s="235"/>
      <c r="E28" s="241"/>
      <c r="F28" s="193" t="s">
        <v>47</v>
      </c>
      <c r="G28" s="196"/>
      <c r="H28" s="29" t="s">
        <v>204</v>
      </c>
      <c r="I28" s="196"/>
      <c r="J28" s="24">
        <v>332.568108</v>
      </c>
      <c r="K28" s="24">
        <v>48.033827000000002</v>
      </c>
    </row>
    <row r="29" spans="1:11">
      <c r="A29" s="47">
        <v>270</v>
      </c>
      <c r="B29" s="236"/>
      <c r="C29" s="239"/>
      <c r="D29" s="236"/>
      <c r="E29" s="242"/>
      <c r="F29" s="194" t="s">
        <v>47</v>
      </c>
      <c r="G29" s="197"/>
      <c r="H29" s="30" t="s">
        <v>205</v>
      </c>
      <c r="I29" s="197"/>
      <c r="J29" s="31">
        <v>346.68783400000001</v>
      </c>
      <c r="K29" s="31">
        <v>48.642020000000002</v>
      </c>
    </row>
    <row r="30" spans="1:11" ht="15" customHeight="1">
      <c r="A30" s="62">
        <v>271</v>
      </c>
      <c r="B30" s="235" t="s">
        <v>29</v>
      </c>
      <c r="C30" s="238" t="s">
        <v>11</v>
      </c>
      <c r="D30" s="203" t="s">
        <v>24</v>
      </c>
      <c r="E30" s="247" t="s">
        <v>26</v>
      </c>
      <c r="F30" s="189" t="s">
        <v>40</v>
      </c>
      <c r="G30" s="196" t="s">
        <v>206</v>
      </c>
      <c r="H30" s="28" t="s">
        <v>207</v>
      </c>
      <c r="I30" s="196">
        <v>15990</v>
      </c>
      <c r="J30" s="188">
        <v>61.212195000000001</v>
      </c>
      <c r="K30" s="188">
        <v>21.902297000000001</v>
      </c>
    </row>
    <row r="31" spans="1:11">
      <c r="A31" s="62">
        <v>272</v>
      </c>
      <c r="B31" s="235"/>
      <c r="C31" s="238"/>
      <c r="D31" s="235"/>
      <c r="E31" s="241"/>
      <c r="F31" s="189" t="s">
        <v>40</v>
      </c>
      <c r="G31" s="196"/>
      <c r="H31" s="28" t="s">
        <v>208</v>
      </c>
      <c r="I31" s="196"/>
      <c r="J31" s="188">
        <v>61.480944999999998</v>
      </c>
      <c r="K31" s="188">
        <v>21.920162999999999</v>
      </c>
    </row>
    <row r="32" spans="1:11">
      <c r="A32" s="62">
        <v>273</v>
      </c>
      <c r="B32" s="235"/>
      <c r="C32" s="238"/>
      <c r="D32" s="235"/>
      <c r="E32" s="241"/>
      <c r="F32" s="189" t="s">
        <v>40</v>
      </c>
      <c r="G32" s="196"/>
      <c r="H32" s="28" t="s">
        <v>209</v>
      </c>
      <c r="I32" s="196"/>
      <c r="J32" s="188">
        <v>62.539624000000003</v>
      </c>
      <c r="K32" s="188">
        <v>21.990182999999998</v>
      </c>
    </row>
    <row r="33" spans="1:11">
      <c r="A33" s="63">
        <v>274</v>
      </c>
      <c r="B33" s="235"/>
      <c r="C33" s="238"/>
      <c r="D33" s="235"/>
      <c r="E33" s="241"/>
      <c r="F33" s="192" t="s">
        <v>42</v>
      </c>
      <c r="G33" s="196"/>
      <c r="H33" s="26" t="s">
        <v>207</v>
      </c>
      <c r="I33" s="196"/>
      <c r="J33" s="25">
        <v>178.22006999999999</v>
      </c>
      <c r="K33" s="25">
        <v>35.761263</v>
      </c>
    </row>
    <row r="34" spans="1:11">
      <c r="A34" s="63">
        <v>275</v>
      </c>
      <c r="B34" s="235"/>
      <c r="C34" s="238"/>
      <c r="D34" s="235"/>
      <c r="E34" s="241"/>
      <c r="F34" s="192" t="s">
        <v>42</v>
      </c>
      <c r="G34" s="196"/>
      <c r="H34" s="26" t="s">
        <v>208</v>
      </c>
      <c r="I34" s="196"/>
      <c r="J34" s="25">
        <v>180.08881199999999</v>
      </c>
      <c r="K34" s="25">
        <v>35.879229000000002</v>
      </c>
    </row>
    <row r="35" spans="1:11">
      <c r="A35" s="63">
        <v>276</v>
      </c>
      <c r="B35" s="235"/>
      <c r="C35" s="238"/>
      <c r="D35" s="235"/>
      <c r="E35" s="241"/>
      <c r="F35" s="192" t="s">
        <v>42</v>
      </c>
      <c r="G35" s="196"/>
      <c r="H35" s="26" t="s">
        <v>209</v>
      </c>
      <c r="I35" s="196"/>
      <c r="J35" s="25">
        <v>187.37247600000001</v>
      </c>
      <c r="K35" s="25">
        <v>36.338780999999997</v>
      </c>
    </row>
    <row r="36" spans="1:11">
      <c r="A36" s="46">
        <v>277</v>
      </c>
      <c r="B36" s="235"/>
      <c r="C36" s="238"/>
      <c r="D36" s="235"/>
      <c r="E36" s="241"/>
      <c r="F36" s="193" t="s">
        <v>47</v>
      </c>
      <c r="G36" s="196"/>
      <c r="H36" s="29" t="s">
        <v>207</v>
      </c>
      <c r="I36" s="196"/>
      <c r="J36" s="24">
        <v>332.17696599999999</v>
      </c>
      <c r="K36" s="24">
        <v>58.432231000000002</v>
      </c>
    </row>
    <row r="37" spans="1:11">
      <c r="A37" s="46">
        <v>278</v>
      </c>
      <c r="B37" s="235"/>
      <c r="C37" s="238"/>
      <c r="D37" s="235"/>
      <c r="E37" s="241"/>
      <c r="F37" s="193" t="s">
        <v>47</v>
      </c>
      <c r="G37" s="196"/>
      <c r="H37" s="29" t="s">
        <v>208</v>
      </c>
      <c r="I37" s="196"/>
      <c r="J37" s="24">
        <v>335.81638900000002</v>
      </c>
      <c r="K37" s="24">
        <v>58.707275000000003</v>
      </c>
    </row>
    <row r="38" spans="1:11">
      <c r="A38" s="47">
        <v>279</v>
      </c>
      <c r="B38" s="236"/>
      <c r="C38" s="239"/>
      <c r="D38" s="236"/>
      <c r="E38" s="242"/>
      <c r="F38" s="194" t="s">
        <v>47</v>
      </c>
      <c r="G38" s="197"/>
      <c r="H38" s="30" t="s">
        <v>209</v>
      </c>
      <c r="I38" s="197"/>
      <c r="J38" s="31">
        <v>349.98945099999997</v>
      </c>
      <c r="K38" s="31">
        <v>59.775139000000003</v>
      </c>
    </row>
    <row r="39" spans="1:11" ht="15" customHeight="1">
      <c r="A39" s="62">
        <v>280</v>
      </c>
      <c r="B39" s="235" t="s">
        <v>29</v>
      </c>
      <c r="C39" s="238" t="s">
        <v>11</v>
      </c>
      <c r="D39" s="203" t="s">
        <v>24</v>
      </c>
      <c r="E39" s="247" t="s">
        <v>26</v>
      </c>
      <c r="F39" s="189" t="s">
        <v>40</v>
      </c>
      <c r="G39" s="196" t="s">
        <v>134</v>
      </c>
      <c r="H39" s="28" t="s">
        <v>210</v>
      </c>
      <c r="I39" s="196">
        <v>15990</v>
      </c>
      <c r="J39" s="188">
        <v>57.462384999999998</v>
      </c>
      <c r="K39" s="188">
        <v>20.910844999999998</v>
      </c>
    </row>
    <row r="40" spans="1:11">
      <c r="A40" s="62">
        <v>281</v>
      </c>
      <c r="B40" s="235"/>
      <c r="C40" s="238"/>
      <c r="D40" s="235"/>
      <c r="E40" s="241"/>
      <c r="F40" s="189" t="s">
        <v>40</v>
      </c>
      <c r="G40" s="196"/>
      <c r="H40" s="28" t="s">
        <v>211</v>
      </c>
      <c r="I40" s="196"/>
      <c r="J40" s="188">
        <v>57.689337000000002</v>
      </c>
      <c r="K40" s="188">
        <v>20.913965999999999</v>
      </c>
    </row>
    <row r="41" spans="1:11">
      <c r="A41" s="62">
        <v>282</v>
      </c>
      <c r="B41" s="235"/>
      <c r="C41" s="238"/>
      <c r="D41" s="235"/>
      <c r="E41" s="241"/>
      <c r="F41" s="189" t="s">
        <v>40</v>
      </c>
      <c r="G41" s="196"/>
      <c r="H41" s="28" t="s">
        <v>212</v>
      </c>
      <c r="I41" s="196"/>
      <c r="J41" s="72">
        <v>58.587519999999998</v>
      </c>
      <c r="K41" s="188">
        <v>20.926216</v>
      </c>
    </row>
    <row r="42" spans="1:11">
      <c r="A42" s="63">
        <v>283</v>
      </c>
      <c r="B42" s="235"/>
      <c r="C42" s="238"/>
      <c r="D42" s="235"/>
      <c r="E42" s="241"/>
      <c r="F42" s="192" t="s">
        <v>42</v>
      </c>
      <c r="G42" s="196"/>
      <c r="H42" s="26" t="s">
        <v>210</v>
      </c>
      <c r="I42" s="196"/>
      <c r="J42" s="25">
        <v>180.25203300000001</v>
      </c>
      <c r="K42" s="25">
        <v>38.973104999999997</v>
      </c>
    </row>
    <row r="43" spans="1:11">
      <c r="A43" s="63">
        <v>284</v>
      </c>
      <c r="B43" s="235"/>
      <c r="C43" s="238"/>
      <c r="D43" s="235"/>
      <c r="E43" s="241"/>
      <c r="F43" s="192" t="s">
        <v>42</v>
      </c>
      <c r="G43" s="196"/>
      <c r="H43" s="26" t="s">
        <v>211</v>
      </c>
      <c r="I43" s="196"/>
      <c r="J43" s="25">
        <v>182.130661</v>
      </c>
      <c r="K43" s="25">
        <v>39.128549999999997</v>
      </c>
    </row>
    <row r="44" spans="1:11">
      <c r="A44" s="63">
        <v>285</v>
      </c>
      <c r="B44" s="235"/>
      <c r="C44" s="238"/>
      <c r="D44" s="235"/>
      <c r="E44" s="241"/>
      <c r="F44" s="192" t="s">
        <v>42</v>
      </c>
      <c r="G44" s="196"/>
      <c r="H44" s="26" t="s">
        <v>212</v>
      </c>
      <c r="I44" s="196"/>
      <c r="J44" s="25">
        <v>189.45186100000001</v>
      </c>
      <c r="K44" s="25">
        <v>39.733103999999997</v>
      </c>
    </row>
    <row r="45" spans="1:11">
      <c r="A45" s="46">
        <v>286</v>
      </c>
      <c r="B45" s="235"/>
      <c r="C45" s="238"/>
      <c r="D45" s="235"/>
      <c r="E45" s="241"/>
      <c r="F45" s="193" t="s">
        <v>47</v>
      </c>
      <c r="G45" s="196"/>
      <c r="H45" s="29" t="s">
        <v>210</v>
      </c>
      <c r="I45" s="196"/>
      <c r="J45" s="24">
        <v>353.07669199999998</v>
      </c>
      <c r="K45" s="24">
        <v>104.42782099999999</v>
      </c>
    </row>
    <row r="46" spans="1:11">
      <c r="A46" s="46">
        <v>287</v>
      </c>
      <c r="B46" s="235"/>
      <c r="C46" s="238"/>
      <c r="D46" s="235"/>
      <c r="E46" s="241"/>
      <c r="F46" s="193" t="s">
        <v>47</v>
      </c>
      <c r="G46" s="196"/>
      <c r="H46" s="29" t="s">
        <v>211</v>
      </c>
      <c r="I46" s="196"/>
      <c r="J46" s="24">
        <v>356.81141400000001</v>
      </c>
      <c r="K46" s="24">
        <v>105.13098100000001</v>
      </c>
    </row>
    <row r="47" spans="1:11">
      <c r="A47" s="47">
        <v>288</v>
      </c>
      <c r="B47" s="236"/>
      <c r="C47" s="239"/>
      <c r="D47" s="236"/>
      <c r="E47" s="242"/>
      <c r="F47" s="194" t="s">
        <v>47</v>
      </c>
      <c r="G47" s="197"/>
      <c r="H47" s="30" t="s">
        <v>212</v>
      </c>
      <c r="I47" s="197"/>
      <c r="J47" s="75">
        <v>371.34726000000001</v>
      </c>
      <c r="K47" s="31">
        <v>107.847965</v>
      </c>
    </row>
    <row r="48" spans="1:11" ht="15" customHeight="1">
      <c r="A48" s="62">
        <v>289</v>
      </c>
      <c r="B48" s="235" t="s">
        <v>29</v>
      </c>
      <c r="C48" s="238" t="s">
        <v>11</v>
      </c>
      <c r="D48" s="203" t="s">
        <v>24</v>
      </c>
      <c r="E48" s="247" t="s">
        <v>26</v>
      </c>
      <c r="F48" s="189" t="s">
        <v>40</v>
      </c>
      <c r="G48" s="196" t="s">
        <v>138</v>
      </c>
      <c r="H48" s="28" t="s">
        <v>213</v>
      </c>
      <c r="I48" s="196">
        <v>15990</v>
      </c>
      <c r="J48" s="188">
        <v>61.759191999999999</v>
      </c>
      <c r="K48" s="188">
        <v>22.047615</v>
      </c>
    </row>
    <row r="49" spans="1:11">
      <c r="A49" s="62">
        <v>290</v>
      </c>
      <c r="B49" s="235"/>
      <c r="C49" s="238"/>
      <c r="D49" s="235"/>
      <c r="E49" s="241"/>
      <c r="F49" s="189" t="s">
        <v>40</v>
      </c>
      <c r="G49" s="196"/>
      <c r="H49" s="28" t="s">
        <v>214</v>
      </c>
      <c r="I49" s="196"/>
      <c r="J49" s="188">
        <v>62.033904999999997</v>
      </c>
      <c r="K49" s="188">
        <v>22.067588000000001</v>
      </c>
    </row>
    <row r="50" spans="1:11">
      <c r="A50" s="62">
        <v>291</v>
      </c>
      <c r="B50" s="235"/>
      <c r="C50" s="238"/>
      <c r="D50" s="235"/>
      <c r="E50" s="241"/>
      <c r="F50" s="189" t="s">
        <v>40</v>
      </c>
      <c r="G50" s="196"/>
      <c r="H50" s="28" t="s">
        <v>215</v>
      </c>
      <c r="I50" s="196"/>
      <c r="J50" s="188">
        <v>63.115476999999998</v>
      </c>
      <c r="K50" s="188">
        <v>22.145847</v>
      </c>
    </row>
    <row r="51" spans="1:11">
      <c r="A51" s="63">
        <v>292</v>
      </c>
      <c r="B51" s="235"/>
      <c r="C51" s="238"/>
      <c r="D51" s="235"/>
      <c r="E51" s="241"/>
      <c r="F51" s="192" t="s">
        <v>42</v>
      </c>
      <c r="G51" s="196"/>
      <c r="H51" s="26" t="s">
        <v>213</v>
      </c>
      <c r="I51" s="196"/>
      <c r="J51" s="25">
        <v>179.91297900000001</v>
      </c>
      <c r="K51" s="25">
        <v>38.408118999999999</v>
      </c>
    </row>
    <row r="52" spans="1:11">
      <c r="A52" s="63">
        <v>293</v>
      </c>
      <c r="B52" s="235"/>
      <c r="C52" s="238"/>
      <c r="D52" s="235"/>
      <c r="E52" s="241"/>
      <c r="F52" s="192" t="s">
        <v>42</v>
      </c>
      <c r="G52" s="196"/>
      <c r="H52" s="26" t="s">
        <v>214</v>
      </c>
      <c r="I52" s="196"/>
      <c r="J52" s="25">
        <v>181.78994800000001</v>
      </c>
      <c r="K52" s="25">
        <v>38.557127999999999</v>
      </c>
    </row>
    <row r="53" spans="1:11">
      <c r="A53" s="63">
        <v>294</v>
      </c>
      <c r="B53" s="235"/>
      <c r="C53" s="238"/>
      <c r="D53" s="235"/>
      <c r="E53" s="241"/>
      <c r="F53" s="192" t="s">
        <v>42</v>
      </c>
      <c r="G53" s="196"/>
      <c r="H53" s="26" t="s">
        <v>215</v>
      </c>
      <c r="I53" s="196"/>
      <c r="J53" s="25">
        <v>189.104851</v>
      </c>
      <c r="K53" s="25">
        <v>39.136803999999998</v>
      </c>
    </row>
    <row r="54" spans="1:11">
      <c r="A54" s="46">
        <v>295</v>
      </c>
      <c r="B54" s="235"/>
      <c r="C54" s="238"/>
      <c r="D54" s="235"/>
      <c r="E54" s="241"/>
      <c r="F54" s="193" t="s">
        <v>47</v>
      </c>
      <c r="G54" s="196"/>
      <c r="H54" s="29" t="s">
        <v>213</v>
      </c>
      <c r="I54" s="196"/>
      <c r="J54" s="24">
        <v>334.86594400000001</v>
      </c>
      <c r="K54" s="24">
        <v>65.879237000000003</v>
      </c>
    </row>
    <row r="55" spans="1:11">
      <c r="A55" s="46">
        <v>296</v>
      </c>
      <c r="B55" s="235"/>
      <c r="C55" s="238"/>
      <c r="D55" s="235"/>
      <c r="E55" s="241"/>
      <c r="F55" s="193" t="s">
        <v>47</v>
      </c>
      <c r="G55" s="196"/>
      <c r="H55" s="29" t="s">
        <v>214</v>
      </c>
      <c r="I55" s="196"/>
      <c r="J55" s="24">
        <v>338.517178</v>
      </c>
      <c r="K55" s="24">
        <v>66.230817999999999</v>
      </c>
    </row>
    <row r="56" spans="1:11">
      <c r="A56" s="47">
        <v>297</v>
      </c>
      <c r="B56" s="236"/>
      <c r="C56" s="239"/>
      <c r="D56" s="236"/>
      <c r="E56" s="242"/>
      <c r="F56" s="194" t="s">
        <v>47</v>
      </c>
      <c r="G56" s="197"/>
      <c r="H56" s="30" t="s">
        <v>215</v>
      </c>
      <c r="I56" s="197"/>
      <c r="J56" s="31">
        <v>352.735186</v>
      </c>
      <c r="K56" s="31">
        <v>67.593795999999998</v>
      </c>
    </row>
    <row r="57" spans="1:11">
      <c r="B57" s="185"/>
      <c r="C57" s="185"/>
      <c r="D57" s="185"/>
      <c r="G57" s="185"/>
      <c r="I57" s="185"/>
    </row>
    <row r="58" spans="1:11">
      <c r="B58" s="185"/>
      <c r="C58" s="185"/>
      <c r="D58" s="185"/>
      <c r="G58" s="185"/>
      <c r="I58" s="185"/>
    </row>
    <row r="59" spans="1:11">
      <c r="B59" s="185"/>
      <c r="C59" s="185"/>
      <c r="D59" s="185"/>
      <c r="G59" s="185"/>
      <c r="I59" s="185"/>
    </row>
    <row r="60" spans="1:11">
      <c r="B60" s="185"/>
      <c r="C60" s="185"/>
      <c r="D60" s="185"/>
      <c r="G60" s="185"/>
      <c r="I60" s="185"/>
    </row>
    <row r="61" spans="1:11">
      <c r="B61" s="185"/>
      <c r="C61" s="185"/>
      <c r="D61" s="185"/>
      <c r="G61" s="185"/>
      <c r="I61" s="185"/>
    </row>
    <row r="62" spans="1:11">
      <c r="B62" s="185"/>
      <c r="C62" s="185"/>
      <c r="D62" s="185"/>
      <c r="G62" s="185"/>
      <c r="I62" s="185"/>
    </row>
    <row r="63" spans="1:11">
      <c r="B63" s="185"/>
      <c r="C63" s="185"/>
      <c r="D63" s="185"/>
      <c r="G63" s="185"/>
      <c r="I63" s="185"/>
    </row>
    <row r="64" spans="1:11">
      <c r="B64" s="185"/>
      <c r="C64" s="185"/>
      <c r="D64" s="185"/>
      <c r="G64" s="185"/>
      <c r="I64" s="185"/>
    </row>
    <row r="65" spans="2:9">
      <c r="B65" s="185"/>
      <c r="C65" s="185"/>
      <c r="D65" s="185"/>
      <c r="G65" s="185"/>
      <c r="I65" s="185"/>
    </row>
    <row r="66" spans="2:9">
      <c r="B66" s="185"/>
      <c r="C66" s="185"/>
      <c r="D66" s="185"/>
      <c r="G66" s="185"/>
      <c r="I66" s="185"/>
    </row>
    <row r="67" spans="2:9">
      <c r="B67" s="185"/>
      <c r="C67" s="185"/>
      <c r="D67" s="185"/>
      <c r="G67" s="185"/>
      <c r="I67" s="185"/>
    </row>
    <row r="68" spans="2:9">
      <c r="B68" s="185"/>
      <c r="C68" s="185"/>
      <c r="D68" s="185"/>
      <c r="G68" s="185"/>
      <c r="I68" s="185"/>
    </row>
    <row r="69" spans="2:9">
      <c r="B69" s="185"/>
      <c r="C69" s="185"/>
      <c r="D69" s="185"/>
      <c r="G69" s="185"/>
      <c r="I69" s="185"/>
    </row>
    <row r="70" spans="2:9">
      <c r="B70" s="185"/>
      <c r="C70" s="185"/>
      <c r="D70" s="185"/>
      <c r="G70" s="185"/>
      <c r="I70" s="185"/>
    </row>
    <row r="71" spans="2:9">
      <c r="B71" s="185"/>
      <c r="C71" s="185"/>
      <c r="D71" s="185"/>
      <c r="G71" s="185"/>
      <c r="I71" s="185"/>
    </row>
    <row r="72" spans="2:9">
      <c r="B72" s="185"/>
      <c r="C72" s="185"/>
      <c r="D72" s="185"/>
      <c r="G72" s="185"/>
      <c r="I72" s="185"/>
    </row>
    <row r="73" spans="2:9">
      <c r="B73" s="185"/>
      <c r="C73" s="185"/>
      <c r="D73" s="185"/>
      <c r="G73" s="185"/>
      <c r="I73" s="185"/>
    </row>
    <row r="74" spans="2:9">
      <c r="B74" s="185"/>
      <c r="C74" s="185"/>
      <c r="D74" s="185"/>
      <c r="G74" s="185"/>
      <c r="I74" s="185"/>
    </row>
  </sheetData>
  <mergeCells count="45">
    <mergeCell ref="E30:E38"/>
    <mergeCell ref="G30:G38"/>
    <mergeCell ref="I48:I56"/>
    <mergeCell ref="D48:D56"/>
    <mergeCell ref="B39:B47"/>
    <mergeCell ref="C39:C47"/>
    <mergeCell ref="E39:E47"/>
    <mergeCell ref="G39:G47"/>
    <mergeCell ref="I39:I47"/>
    <mergeCell ref="D39:D47"/>
    <mergeCell ref="B48:B56"/>
    <mergeCell ref="C48:C56"/>
    <mergeCell ref="E48:E56"/>
    <mergeCell ref="G48:G56"/>
    <mergeCell ref="B12:B20"/>
    <mergeCell ref="C12:C20"/>
    <mergeCell ref="E12:E20"/>
    <mergeCell ref="I30:I38"/>
    <mergeCell ref="D30:D38"/>
    <mergeCell ref="I12:I20"/>
    <mergeCell ref="D12:D20"/>
    <mergeCell ref="B21:B29"/>
    <mergeCell ref="C21:C29"/>
    <mergeCell ref="E21:E29"/>
    <mergeCell ref="G21:G29"/>
    <mergeCell ref="I21:I29"/>
    <mergeCell ref="D21:D29"/>
    <mergeCell ref="G12:G20"/>
    <mergeCell ref="B30:B38"/>
    <mergeCell ref="C30:C38"/>
    <mergeCell ref="G1:H1"/>
    <mergeCell ref="I1:I2"/>
    <mergeCell ref="J1:K1"/>
    <mergeCell ref="B3:B11"/>
    <mergeCell ref="C3:C11"/>
    <mergeCell ref="E3:E11"/>
    <mergeCell ref="G3:G11"/>
    <mergeCell ref="I3:I11"/>
    <mergeCell ref="F1:F2"/>
    <mergeCell ref="D3:D11"/>
    <mergeCell ref="A1:A2"/>
    <mergeCell ref="B1:B2"/>
    <mergeCell ref="C1:C2"/>
    <mergeCell ref="D1:D2"/>
    <mergeCell ref="E1:E2"/>
  </mergeCells>
  <dataValidations count="1">
    <dataValidation allowBlank="1" showInputMessage="1" showErrorMessage="1" sqref="D1:D2" xr:uid="{1919CBCF-2887-49A5-8204-4380EFCEB730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84CE54-25F4-4C27-8E02-BE55B373CBE3}">
          <x14:formula1>
            <xm:f>'DATA - IKKE RØR'!$A$7:$A$9</xm:f>
          </x14:formula1>
          <xm:sqref>B3 B12 B21 B30 B39 B48</xm:sqref>
        </x14:dataValidation>
        <x14:dataValidation type="list" allowBlank="1" showInputMessage="1" showErrorMessage="1" xr:uid="{9557268E-2227-4371-986C-6B27F38787FC}">
          <x14:formula1>
            <xm:f>'DATA - IKKE RØR'!$A$3:$A$5</xm:f>
          </x14:formula1>
          <xm:sqref>C3:C56</xm:sqref>
        </x14:dataValidation>
        <x14:dataValidation type="list" allowBlank="1" showInputMessage="1" showErrorMessage="1" xr:uid="{CB5345F8-2123-4263-8443-DCEE6C839660}">
          <x14:formula1>
            <xm:f>'DATA - IKKE RØR'!$A$11:$A$20</xm:f>
          </x14:formula1>
          <xm:sqref>F3:F56</xm:sqref>
        </x14:dataValidation>
        <x14:dataValidation type="list" allowBlank="1" showInputMessage="1" showErrorMessage="1" xr:uid="{49B58A66-B93B-45C2-B227-CBB251E2AC32}">
          <x14:formula1>
            <xm:f>'DATA - IKKE RØR'!$M$3:$M$4</xm:f>
          </x14:formula1>
          <xm:sqref>D3:D56</xm:sqref>
        </x14:dataValidation>
        <x14:dataValidation type="list" allowBlank="1" showInputMessage="1" showErrorMessage="1" xr:uid="{47B7E6E3-F913-4076-9315-8EB10AE4B92B}">
          <x14:formula1>
            <xm:f>'DATA - IKKE RØR'!$L$3:$L$8</xm:f>
          </x14:formula1>
          <xm:sqref>E3:E56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ACC0-5335-4178-8FCE-034C865C4B9E}">
  <sheetPr>
    <tabColor rgb="FF7030A0"/>
  </sheetPr>
  <dimension ref="A1:M138"/>
  <sheetViews>
    <sheetView workbookViewId="0">
      <pane ySplit="2" topLeftCell="A3" activePane="bottomLeft" state="frozen"/>
      <selection pane="bottomLeft" activeCell="J103" sqref="J103"/>
    </sheetView>
  </sheetViews>
  <sheetFormatPr defaultRowHeight="15"/>
  <cols>
    <col min="1" max="1" width="8" customWidth="1"/>
    <col min="2" max="3" width="12.42578125" style="64" customWidth="1"/>
    <col min="4" max="4" width="15.85546875" customWidth="1"/>
    <col min="5" max="5" width="12.140625" bestFit="1" customWidth="1"/>
    <col min="6" max="6" width="14.7109375" bestFit="1" customWidth="1"/>
    <col min="7" max="7" width="13.28515625" style="64" bestFit="1" customWidth="1"/>
    <col min="8" max="8" width="20.28515625" style="64" bestFit="1" customWidth="1"/>
    <col min="9" max="9" width="34.85546875" customWidth="1"/>
    <col min="10" max="10" width="33.5703125" customWidth="1"/>
    <col min="11" max="11" width="12.42578125" bestFit="1" customWidth="1"/>
    <col min="12" max="12" width="13" customWidth="1"/>
    <col min="13" max="13" width="13.42578125" customWidth="1"/>
  </cols>
  <sheetData>
    <row r="1" spans="1:13" ht="20.100000000000001" customHeight="1">
      <c r="A1" s="219" t="s">
        <v>102</v>
      </c>
      <c r="B1" s="221" t="s">
        <v>103</v>
      </c>
      <c r="C1" s="221" t="s">
        <v>104</v>
      </c>
      <c r="D1" s="221" t="s">
        <v>9</v>
      </c>
      <c r="E1" s="212" t="s">
        <v>105</v>
      </c>
      <c r="F1" s="212" t="s">
        <v>110</v>
      </c>
      <c r="G1" s="212" t="s">
        <v>107</v>
      </c>
      <c r="H1" s="212" t="s">
        <v>216</v>
      </c>
      <c r="I1" s="233" t="s">
        <v>108</v>
      </c>
      <c r="J1" s="217"/>
    </row>
    <row r="2" spans="1:13" ht="20.100000000000001" customHeight="1">
      <c r="A2" s="220"/>
      <c r="B2" s="222"/>
      <c r="C2" s="222"/>
      <c r="D2" s="222"/>
      <c r="E2" s="213"/>
      <c r="F2" s="213"/>
      <c r="G2" s="213"/>
      <c r="H2" s="213"/>
      <c r="I2" s="15" t="s">
        <v>111</v>
      </c>
      <c r="J2" s="15" t="s">
        <v>112</v>
      </c>
    </row>
    <row r="3" spans="1:13">
      <c r="A3" s="61"/>
      <c r="B3" s="234" t="s">
        <v>36</v>
      </c>
      <c r="C3" s="195" t="s">
        <v>25</v>
      </c>
      <c r="D3" s="198" t="s">
        <v>18</v>
      </c>
      <c r="E3" s="240" t="s">
        <v>40</v>
      </c>
      <c r="F3" s="246" t="s">
        <v>192</v>
      </c>
      <c r="G3" s="195">
        <v>6000</v>
      </c>
      <c r="H3" s="66" t="s">
        <v>217</v>
      </c>
      <c r="I3" s="190">
        <f>COUNT('METCM (Meteomatics)'!J165:J169)</f>
        <v>5</v>
      </c>
      <c r="J3" s="85">
        <f>COUNT('METCM (Meteomatics)'!K165:K169)</f>
        <v>5</v>
      </c>
    </row>
    <row r="4" spans="1:13">
      <c r="A4" s="62"/>
      <c r="B4" s="235"/>
      <c r="C4" s="196"/>
      <c r="D4" s="200"/>
      <c r="E4" s="247"/>
      <c r="F4" s="241"/>
      <c r="G4" s="196"/>
      <c r="H4" s="67" t="s">
        <v>218</v>
      </c>
      <c r="I4" s="104">
        <f>AVERAGE('METCM (Meteomatics)'!J165:J169)</f>
        <v>252.11617699999996</v>
      </c>
      <c r="J4" s="99">
        <f>AVERAGE('METCM (Meteomatics)'!K165:K169)</f>
        <v>35.163065199999998</v>
      </c>
    </row>
    <row r="5" spans="1:13">
      <c r="A5" s="62"/>
      <c r="B5" s="235"/>
      <c r="C5" s="196"/>
      <c r="D5" s="200"/>
      <c r="E5" s="247"/>
      <c r="F5" s="241"/>
      <c r="G5" s="196"/>
      <c r="H5" s="67" t="s">
        <v>219</v>
      </c>
      <c r="I5" s="98">
        <f>_xlfn.STDEV.S('METCM (Meteomatics)'!J165:J169)</f>
        <v>7.5622020221692221</v>
      </c>
      <c r="J5" s="99">
        <f>_xlfn.STDEV.S('METCM (Meteomatics)'!K165:K169)</f>
        <v>0.17132996485349705</v>
      </c>
    </row>
    <row r="6" spans="1:13">
      <c r="A6" s="62"/>
      <c r="B6" s="235"/>
      <c r="C6" s="196"/>
      <c r="D6" s="200"/>
      <c r="E6" s="247"/>
      <c r="F6" s="241"/>
      <c r="G6" s="196"/>
      <c r="H6" s="67" t="s">
        <v>220</v>
      </c>
      <c r="I6" s="188">
        <f>MEDIAN('METCM (Meteomatics)'!J165:J169)</f>
        <v>250.92734300000001</v>
      </c>
      <c r="J6" s="95">
        <f>MEDIAN('METCM (Meteomatics)'!K165:K169)</f>
        <v>35.135865000000003</v>
      </c>
    </row>
    <row r="7" spans="1:13">
      <c r="A7" s="62"/>
      <c r="B7" s="235"/>
      <c r="C7" s="196"/>
      <c r="D7" s="200"/>
      <c r="E7" s="247"/>
      <c r="F7" s="241"/>
      <c r="G7" s="196"/>
      <c r="H7" s="67" t="s">
        <v>221</v>
      </c>
      <c r="I7" s="189">
        <f>_xlfn.QUARTILE.INC('METCM (Meteomatics)'!J165:J169,1)</f>
        <v>246.60966400000001</v>
      </c>
      <c r="J7" s="96">
        <f>_xlfn.QUARTILE.INC('METCM (Meteomatics)'!K165:K169,1)</f>
        <v>35.038342</v>
      </c>
    </row>
    <row r="8" spans="1:13">
      <c r="A8" s="62"/>
      <c r="B8" s="235"/>
      <c r="C8" s="196"/>
      <c r="D8" s="200"/>
      <c r="E8" s="247"/>
      <c r="F8" s="241"/>
      <c r="G8" s="196"/>
      <c r="H8" s="67" t="s">
        <v>222</v>
      </c>
      <c r="I8" s="189">
        <f>_xlfn.QUARTILE.INC('METCM (Meteomatics)'!J165:J169,3)</f>
        <v>255.171055</v>
      </c>
      <c r="J8" s="96">
        <f>_xlfn.QUARTILE.INC('METCM (Meteomatics)'!K165:K169,3)</f>
        <v>35.231962000000003</v>
      </c>
      <c r="L8" t="s">
        <v>223</v>
      </c>
    </row>
    <row r="9" spans="1:13">
      <c r="A9" s="62"/>
      <c r="B9" s="235"/>
      <c r="C9" s="196"/>
      <c r="D9" s="200"/>
      <c r="E9" s="247"/>
      <c r="F9" s="241"/>
      <c r="G9" s="196"/>
      <c r="H9" s="67" t="s">
        <v>224</v>
      </c>
      <c r="I9" s="188">
        <f>I8-I7</f>
        <v>8.5613909999999862</v>
      </c>
      <c r="J9" s="86">
        <f>J8-J7</f>
        <v>0.19362000000000279</v>
      </c>
      <c r="L9" t="s">
        <v>111</v>
      </c>
      <c r="M9" t="s">
        <v>112</v>
      </c>
    </row>
    <row r="10" spans="1:13">
      <c r="A10" s="62"/>
      <c r="B10" s="235"/>
      <c r="C10" s="196"/>
      <c r="D10" s="200"/>
      <c r="E10" s="247"/>
      <c r="F10" s="241"/>
      <c r="G10" s="196"/>
      <c r="H10" s="67" t="s">
        <v>225</v>
      </c>
      <c r="I10" s="188">
        <f>I4-_xlfn.CONFIDENCE.T(0.05,I5,I3)</f>
        <v>242.72646300192875</v>
      </c>
      <c r="J10" s="86">
        <f>J4-_xlfn.CONFIDENCE.T(0.05,J5,J3)</f>
        <v>34.950330950827897</v>
      </c>
      <c r="L10" s="184">
        <f>AVERAGE(I4,I13,I22)</f>
        <v>262.32281059999997</v>
      </c>
      <c r="M10" s="184">
        <f>AVERAGE(J4,J13,J22)</f>
        <v>36.459206000000002</v>
      </c>
    </row>
    <row r="11" spans="1:13">
      <c r="A11" s="62"/>
      <c r="B11" s="235"/>
      <c r="C11" s="196"/>
      <c r="D11" s="200"/>
      <c r="E11" s="210"/>
      <c r="F11" s="241"/>
      <c r="G11" s="196"/>
      <c r="H11" s="67" t="s">
        <v>226</v>
      </c>
      <c r="I11" s="188">
        <f>I4+_xlfn.CONFIDENCE.T(0.05,I5,I3)</f>
        <v>261.50589099807121</v>
      </c>
      <c r="J11" s="86">
        <f>J4+_xlfn.CONFIDENCE.T(0.05,J5,J3)</f>
        <v>35.375799449172099</v>
      </c>
    </row>
    <row r="12" spans="1:13">
      <c r="A12" s="63"/>
      <c r="B12" s="235"/>
      <c r="C12" s="196"/>
      <c r="D12" s="200"/>
      <c r="E12" s="248" t="s">
        <v>42</v>
      </c>
      <c r="F12" s="241"/>
      <c r="G12" s="196"/>
      <c r="H12" s="67" t="s">
        <v>217</v>
      </c>
      <c r="I12" s="25">
        <f>COUNT('METCM (Meteomatics)'!J170:J174)</f>
        <v>5</v>
      </c>
      <c r="J12" s="88">
        <f>COUNT('METCM (Meteomatics)'!K170:K174)</f>
        <v>5</v>
      </c>
    </row>
    <row r="13" spans="1:13">
      <c r="A13" s="63"/>
      <c r="B13" s="235"/>
      <c r="C13" s="196"/>
      <c r="D13" s="200"/>
      <c r="E13" s="249"/>
      <c r="F13" s="241"/>
      <c r="G13" s="196"/>
      <c r="H13" s="67" t="s">
        <v>218</v>
      </c>
      <c r="I13" s="100">
        <f>AVERAGE('METCM (Meteomatics)'!J170:J174)</f>
        <v>257.30056739999998</v>
      </c>
      <c r="J13" s="101">
        <f>AVERAGE('METCM (Meteomatics)'!K170:K174)</f>
        <v>37.4421088</v>
      </c>
    </row>
    <row r="14" spans="1:13">
      <c r="A14" s="63"/>
      <c r="B14" s="235"/>
      <c r="C14" s="196"/>
      <c r="D14" s="200"/>
      <c r="E14" s="249"/>
      <c r="F14" s="241"/>
      <c r="G14" s="196"/>
      <c r="H14" s="67" t="s">
        <v>219</v>
      </c>
      <c r="I14" s="100">
        <f>_xlfn.STDEV.S('METCM (Meteomatics)'!J170:J174)</f>
        <v>7.732330579393599</v>
      </c>
      <c r="J14" s="101">
        <f>_xlfn.STDEV.S('METCM (Meteomatics)'!K170:K174)</f>
        <v>0.23121275222335766</v>
      </c>
    </row>
    <row r="15" spans="1:13">
      <c r="A15" s="63"/>
      <c r="B15" s="235"/>
      <c r="C15" s="196"/>
      <c r="D15" s="200"/>
      <c r="E15" s="249"/>
      <c r="F15" s="241"/>
      <c r="G15" s="196"/>
      <c r="H15" s="67" t="s">
        <v>220</v>
      </c>
      <c r="I15" s="25">
        <f>MEDIAN('METCM (Meteomatics)'!J170:J174)</f>
        <v>256.08504799999997</v>
      </c>
      <c r="J15" s="88">
        <f>MEDIAN('METCM (Meteomatics)'!K170:K174)</f>
        <v>37.405506000000003</v>
      </c>
    </row>
    <row r="16" spans="1:13">
      <c r="A16" s="63"/>
      <c r="B16" s="235"/>
      <c r="C16" s="196"/>
      <c r="D16" s="200"/>
      <c r="E16" s="249"/>
      <c r="F16" s="241"/>
      <c r="G16" s="196"/>
      <c r="H16" s="67" t="s">
        <v>221</v>
      </c>
      <c r="I16" s="25">
        <f>_xlfn.QUARTILE.INC('METCM (Meteomatics)'!J170:J174,1)</f>
        <v>251.67016599999999</v>
      </c>
      <c r="J16" s="88">
        <f>_xlfn.QUARTILE.INC('METCM (Meteomatics)'!K170:K174,1)</f>
        <v>37.273778999999998</v>
      </c>
    </row>
    <row r="17" spans="1:10">
      <c r="A17" s="63"/>
      <c r="B17" s="235"/>
      <c r="C17" s="196"/>
      <c r="D17" s="200"/>
      <c r="E17" s="249"/>
      <c r="F17" s="241"/>
      <c r="G17" s="196"/>
      <c r="H17" s="67" t="s">
        <v>222</v>
      </c>
      <c r="I17" s="25">
        <f>_xlfn.QUARTILE.INC('METCM (Meteomatics)'!J170:J174,3)</f>
        <v>260.42424099999999</v>
      </c>
      <c r="J17" s="88">
        <f>_xlfn.QUARTILE.INC('METCM (Meteomatics)'!K170:K174,3)</f>
        <v>37.535212000000001</v>
      </c>
    </row>
    <row r="18" spans="1:10">
      <c r="A18" s="63"/>
      <c r="B18" s="235"/>
      <c r="C18" s="196"/>
      <c r="D18" s="200"/>
      <c r="E18" s="249"/>
      <c r="F18" s="241"/>
      <c r="G18" s="196"/>
      <c r="H18" s="67" t="s">
        <v>224</v>
      </c>
      <c r="I18" s="25">
        <f>I17-I16</f>
        <v>8.7540750000000003</v>
      </c>
      <c r="J18" s="88">
        <f>J17-J16</f>
        <v>0.2614330000000038</v>
      </c>
    </row>
    <row r="19" spans="1:10">
      <c r="A19" s="63"/>
      <c r="B19" s="235"/>
      <c r="C19" s="196"/>
      <c r="D19" s="200"/>
      <c r="E19" s="249"/>
      <c r="F19" s="241"/>
      <c r="G19" s="196"/>
      <c r="H19" s="67" t="s">
        <v>225</v>
      </c>
      <c r="I19" s="73">
        <f>I13-_xlfn.CONFIDENCE.T(0.05,I14,I12)</f>
        <v>247.69961089735691</v>
      </c>
      <c r="J19" s="89">
        <f>J13-_xlfn.CONFIDENCE.T(0.05,J14,J12)</f>
        <v>37.155020249638646</v>
      </c>
    </row>
    <row r="20" spans="1:10">
      <c r="A20" s="63"/>
      <c r="B20" s="235"/>
      <c r="C20" s="196"/>
      <c r="D20" s="200"/>
      <c r="E20" s="250"/>
      <c r="F20" s="241"/>
      <c r="G20" s="196"/>
      <c r="H20" s="67" t="s">
        <v>226</v>
      </c>
      <c r="I20" s="73">
        <f>I13+_xlfn.CONFIDENCE.T(0.05,I14,I12)</f>
        <v>266.90152390264308</v>
      </c>
      <c r="J20" s="89">
        <f>J13+_xlfn.CONFIDENCE.T(0.05,J14,J12)</f>
        <v>37.729197350361353</v>
      </c>
    </row>
    <row r="21" spans="1:10">
      <c r="A21" s="97"/>
      <c r="B21" s="235"/>
      <c r="C21" s="196"/>
      <c r="D21" s="200"/>
      <c r="E21" s="208" t="s">
        <v>47</v>
      </c>
      <c r="F21" s="241"/>
      <c r="G21" s="196"/>
      <c r="H21" s="67" t="s">
        <v>217</v>
      </c>
      <c r="I21" s="24">
        <f>COUNT('METCM (Meteomatics)'!J175:J179)</f>
        <v>5</v>
      </c>
      <c r="J21" s="90">
        <f>COUNT('METCM (Meteomatics)'!K175:K179)</f>
        <v>5</v>
      </c>
    </row>
    <row r="22" spans="1:10">
      <c r="A22" s="97"/>
      <c r="B22" s="235"/>
      <c r="C22" s="196"/>
      <c r="D22" s="200"/>
      <c r="E22" s="251"/>
      <c r="F22" s="241"/>
      <c r="G22" s="196"/>
      <c r="H22" s="67" t="s">
        <v>218</v>
      </c>
      <c r="I22" s="102">
        <f>AVERAGE('METCM (Meteomatics)'!J175:J179)</f>
        <v>277.55168739999999</v>
      </c>
      <c r="J22" s="103">
        <f>AVERAGE('METCM (Meteomatics)'!K175:K179)</f>
        <v>36.772444</v>
      </c>
    </row>
    <row r="23" spans="1:10">
      <c r="A23" s="97"/>
      <c r="B23" s="235"/>
      <c r="C23" s="196"/>
      <c r="D23" s="200"/>
      <c r="E23" s="251"/>
      <c r="F23" s="241"/>
      <c r="G23" s="196"/>
      <c r="H23" s="67" t="s">
        <v>219</v>
      </c>
      <c r="I23" s="102">
        <f>_xlfn.STDEV.S('METCM (Meteomatics)'!J175:J179)</f>
        <v>8.3514757086455393</v>
      </c>
      <c r="J23" s="103">
        <f>_xlfn.STDEV.S('METCM (Meteomatics)'!K175:K179)</f>
        <v>0.1816733217907911</v>
      </c>
    </row>
    <row r="24" spans="1:10">
      <c r="A24" s="97"/>
      <c r="B24" s="235"/>
      <c r="C24" s="196"/>
      <c r="D24" s="200"/>
      <c r="E24" s="251"/>
      <c r="F24" s="241"/>
      <c r="G24" s="196"/>
      <c r="H24" s="67" t="s">
        <v>220</v>
      </c>
      <c r="I24" s="24">
        <f>MEDIAN('METCM (Meteomatics)'!J175:J179)</f>
        <v>276.238697</v>
      </c>
      <c r="J24" s="90">
        <f>MEDIAN('METCM (Meteomatics)'!K175:K179)</f>
        <v>36.743606</v>
      </c>
    </row>
    <row r="25" spans="1:10">
      <c r="A25" s="97"/>
      <c r="B25" s="235"/>
      <c r="C25" s="196"/>
      <c r="D25" s="200"/>
      <c r="E25" s="251"/>
      <c r="F25" s="241"/>
      <c r="G25" s="196"/>
      <c r="H25" s="67" t="s">
        <v>221</v>
      </c>
      <c r="I25" s="24">
        <f>_xlfn.QUARTILE.INC('METCM (Meteomatics)'!J175:J179,1)</f>
        <v>271.47046399999999</v>
      </c>
      <c r="J25" s="90">
        <f>_xlfn.QUARTILE.INC('METCM (Meteomatics)'!K175:K179,1)</f>
        <v>36.640191000000002</v>
      </c>
    </row>
    <row r="26" spans="1:10">
      <c r="A26" s="97"/>
      <c r="B26" s="235"/>
      <c r="C26" s="196"/>
      <c r="D26" s="200"/>
      <c r="E26" s="251"/>
      <c r="F26" s="241"/>
      <c r="G26" s="196"/>
      <c r="H26" s="67" t="s">
        <v>222</v>
      </c>
      <c r="I26" s="24">
        <f>_xlfn.QUARTILE.INC('METCM (Meteomatics)'!J175:J179,3)</f>
        <v>280.92531600000001</v>
      </c>
      <c r="J26" s="90">
        <f>_xlfn.QUARTILE.INC('METCM (Meteomatics)'!K175:K179,3)</f>
        <v>36.845505000000003</v>
      </c>
    </row>
    <row r="27" spans="1:10">
      <c r="A27" s="46"/>
      <c r="B27" s="235"/>
      <c r="C27" s="196"/>
      <c r="D27" s="200"/>
      <c r="E27" s="251"/>
      <c r="F27" s="241"/>
      <c r="G27" s="196"/>
      <c r="H27" s="67" t="s">
        <v>224</v>
      </c>
      <c r="I27" s="24">
        <f>I26-I25</f>
        <v>9.4548520000000167</v>
      </c>
      <c r="J27" s="90">
        <f>J26-J25</f>
        <v>0.20531400000000133</v>
      </c>
    </row>
    <row r="28" spans="1:10">
      <c r="A28" s="46"/>
      <c r="B28" s="235"/>
      <c r="C28" s="196"/>
      <c r="D28" s="200"/>
      <c r="E28" s="251"/>
      <c r="F28" s="241"/>
      <c r="G28" s="196"/>
      <c r="H28" s="67" t="s">
        <v>225</v>
      </c>
      <c r="I28" s="74">
        <f>I22-_xlfn.CONFIDENCE.T(0.05,I23,I21)</f>
        <v>267.18196068070154</v>
      </c>
      <c r="J28" s="91">
        <f>J22-_xlfn.CONFIDENCE.T(0.05,J23,J21)</f>
        <v>36.546866776898284</v>
      </c>
    </row>
    <row r="29" spans="1:10">
      <c r="A29" s="47"/>
      <c r="B29" s="236"/>
      <c r="C29" s="197"/>
      <c r="D29" s="201"/>
      <c r="E29" s="252"/>
      <c r="F29" s="242"/>
      <c r="G29" s="197"/>
      <c r="H29" s="68" t="s">
        <v>226</v>
      </c>
      <c r="I29" s="75">
        <f>I22+_xlfn.CONFIDENCE.T(0.05,I23,I21)</f>
        <v>287.92141411929845</v>
      </c>
      <c r="J29" s="92">
        <f>J22+_xlfn.CONFIDENCE.T(0.05,J23,J21)</f>
        <v>36.998021223101716</v>
      </c>
    </row>
    <row r="30" spans="1:10">
      <c r="A30" s="83"/>
      <c r="B30" s="235" t="s">
        <v>32</v>
      </c>
      <c r="C30" s="238" t="s">
        <v>20</v>
      </c>
      <c r="D30" s="247" t="s">
        <v>18</v>
      </c>
      <c r="E30" s="247" t="s">
        <v>40</v>
      </c>
      <c r="F30" s="241" t="s">
        <v>227</v>
      </c>
      <c r="G30" s="209">
        <v>5000</v>
      </c>
      <c r="H30" s="69" t="s">
        <v>217</v>
      </c>
      <c r="I30" s="191">
        <f>COUNT('METCM (Meteomatics)'!J129:J131,'METCM (Meteomatics)'!J138:J140,'METCM (Meteomatics)'!J147:J149,'METCM (Meteomatics)'!J156:J158)</f>
        <v>12</v>
      </c>
      <c r="J30" s="94">
        <f>COUNT('METCM (Meteomatics)'!K129:K131,'METCM (Meteomatics)'!K138:K140,'METCM (Meteomatics)'!K147:K149,'METCM (Meteomatics)'!K156:K158)</f>
        <v>12</v>
      </c>
    </row>
    <row r="31" spans="1:10">
      <c r="A31" s="83"/>
      <c r="B31" s="235"/>
      <c r="C31" s="238"/>
      <c r="D31" s="247"/>
      <c r="E31" s="247"/>
      <c r="F31" s="241"/>
      <c r="G31" s="209"/>
      <c r="H31" s="69" t="s">
        <v>218</v>
      </c>
      <c r="I31" s="98">
        <f>AVERAGE('METCM (Meteomatics)'!J129:J131,'METCM (Meteomatics)'!J138:J140,'METCM (Meteomatics)'!J147:J149,'METCM (Meteomatics)'!J156:J158)</f>
        <v>65.825832083333339</v>
      </c>
      <c r="J31" s="99">
        <f>AVERAGE('METCM (Meteomatics)'!K129:K131,'METCM (Meteomatics)'!K138:K140,'METCM (Meteomatics)'!K147:K149,'METCM (Meteomatics)'!K156:K158)</f>
        <v>20.740059333333335</v>
      </c>
    </row>
    <row r="32" spans="1:10">
      <c r="A32" s="83"/>
      <c r="B32" s="235"/>
      <c r="C32" s="238"/>
      <c r="D32" s="247"/>
      <c r="E32" s="247"/>
      <c r="F32" s="241"/>
      <c r="G32" s="209"/>
      <c r="H32" s="69" t="s">
        <v>219</v>
      </c>
      <c r="I32" s="98">
        <f>_xlfn.STDEV.S('METCM (Meteomatics)'!J129:J131,'METCM (Meteomatics)'!J138:J140,'METCM (Meteomatics)'!J147:J149,'METCM (Meteomatics)'!J156:J158)</f>
        <v>18.851273153837269</v>
      </c>
      <c r="J32" s="99">
        <f>_xlfn.STDEV.S('METCM (Meteomatics)'!K129:K131,'METCM (Meteomatics)'!K138:K140,'METCM (Meteomatics)'!K147:K149,'METCM (Meteomatics)'!K156:K158)</f>
        <v>0.12804012465653333</v>
      </c>
    </row>
    <row r="33" spans="1:10">
      <c r="A33" s="83"/>
      <c r="B33" s="235"/>
      <c r="C33" s="238"/>
      <c r="D33" s="247"/>
      <c r="E33" s="247"/>
      <c r="F33" s="241"/>
      <c r="G33" s="209"/>
      <c r="H33" s="69" t="s">
        <v>220</v>
      </c>
      <c r="I33" s="72">
        <f>MEDIAN('METCM (Meteomatics)'!J129:J131,'METCM (Meteomatics)'!J138:J140,'METCM (Meteomatics)'!J147:J149,'METCM (Meteomatics)'!J156:J158)</f>
        <v>57.376913500000001</v>
      </c>
      <c r="J33" s="86">
        <f>MEDIAN('METCM (Meteomatics)'!K129:K131,'METCM (Meteomatics)'!K138:K140,'METCM (Meteomatics)'!K147:K149,'METCM (Meteomatics)'!K156:K158)</f>
        <v>20.689010000000003</v>
      </c>
    </row>
    <row r="34" spans="1:10">
      <c r="A34" s="83"/>
      <c r="B34" s="235"/>
      <c r="C34" s="238"/>
      <c r="D34" s="247"/>
      <c r="E34" s="247"/>
      <c r="F34" s="241"/>
      <c r="G34" s="209"/>
      <c r="H34" s="69" t="s">
        <v>221</v>
      </c>
      <c r="I34" s="84">
        <f ca="1">_xlfn.QUARTILE.INC(('METCM (Meteomatics)'!J129:J131,'METCM (Meteomatics)'!J138:J140,'METCM (Meteomatics)'!J147:J149,'METCM (Meteomatics)'!J156:J158),1)</f>
        <v>53.459352749999994</v>
      </c>
      <c r="J34" s="87">
        <f ca="1">_xlfn.QUARTILE.INC(('METCM (Meteomatics)'!K129:K131,'METCM (Meteomatics)'!K138:K140,'METCM (Meteomatics)'!K147:K149,'METCM (Meteomatics)'!K156:K158),1)</f>
        <v>20.644763750000003</v>
      </c>
    </row>
    <row r="35" spans="1:10">
      <c r="A35" s="83"/>
      <c r="B35" s="235"/>
      <c r="C35" s="238"/>
      <c r="D35" s="247"/>
      <c r="E35" s="247"/>
      <c r="F35" s="241"/>
      <c r="G35" s="209"/>
      <c r="H35" s="69" t="s">
        <v>222</v>
      </c>
      <c r="I35" s="189">
        <f ca="1">_xlfn.QUARTILE.INC(('METCM (Meteomatics)'!J129:J131,'METCM (Meteomatics)'!J138:J140,'METCM (Meteomatics)'!J147:J149,'METCM (Meteomatics)'!J156:J158),3)</f>
        <v>68.998953</v>
      </c>
      <c r="J35" s="87">
        <f ca="1">_xlfn.QUARTILE.INC(('METCM (Meteomatics)'!K129:K131,'METCM (Meteomatics)'!K138:K140,'METCM (Meteomatics)'!K147:K149,'METCM (Meteomatics)'!K156:K158),3)</f>
        <v>20.777419250000001</v>
      </c>
    </row>
    <row r="36" spans="1:10">
      <c r="A36" s="62"/>
      <c r="B36" s="235"/>
      <c r="C36" s="238"/>
      <c r="D36" s="241"/>
      <c r="E36" s="247"/>
      <c r="F36" s="241"/>
      <c r="G36" s="196"/>
      <c r="H36" s="67" t="s">
        <v>224</v>
      </c>
      <c r="I36" s="72">
        <f ca="1">I35-I34</f>
        <v>15.539600250000007</v>
      </c>
      <c r="J36" s="86">
        <f ca="1">J35-J34</f>
        <v>0.13265549999999848</v>
      </c>
    </row>
    <row r="37" spans="1:10">
      <c r="A37" s="62"/>
      <c r="B37" s="235"/>
      <c r="C37" s="238"/>
      <c r="D37" s="241"/>
      <c r="E37" s="247"/>
      <c r="F37" s="241"/>
      <c r="G37" s="196"/>
      <c r="H37" s="67" t="s">
        <v>225</v>
      </c>
      <c r="I37" s="72">
        <f>I31-_xlfn.CONFIDENCE.T(0.05,I32,I30)</f>
        <v>53.848304553795273</v>
      </c>
      <c r="J37" s="86">
        <f>J31-_xlfn.CONFIDENCE.T(0.05,J32,J30)</f>
        <v>20.658706519364536</v>
      </c>
    </row>
    <row r="38" spans="1:10" ht="15" customHeight="1">
      <c r="A38" s="62"/>
      <c r="B38" s="235"/>
      <c r="C38" s="238"/>
      <c r="D38" s="241"/>
      <c r="E38" s="210"/>
      <c r="F38" s="241"/>
      <c r="G38" s="196">
        <v>3000</v>
      </c>
      <c r="H38" s="67" t="s">
        <v>226</v>
      </c>
      <c r="I38" s="72">
        <f>I31+_xlfn.CONFIDENCE.T(0.05,I32,I30)</f>
        <v>77.803359612871404</v>
      </c>
      <c r="J38" s="86">
        <f>J31+_xlfn.CONFIDENCE.T(0.05,J32,J30)</f>
        <v>20.821412147302134</v>
      </c>
    </row>
    <row r="39" spans="1:10">
      <c r="A39" s="63"/>
      <c r="B39" s="235"/>
      <c r="C39" s="238"/>
      <c r="D39" s="241"/>
      <c r="E39" s="248" t="s">
        <v>42</v>
      </c>
      <c r="F39" s="241"/>
      <c r="G39" s="196"/>
      <c r="H39" s="67" t="s">
        <v>217</v>
      </c>
      <c r="I39" s="25">
        <f>COUNT('METCM (Meteomatics)'!J132:J134,'METCM (Meteomatics)'!J141:J143,'METCM (Meteomatics)'!J150:J152,'METCM (Meteomatics)'!J159:J161)</f>
        <v>12</v>
      </c>
      <c r="J39" s="88">
        <f>COUNT('METCM (Meteomatics)'!K132:K134,'METCM (Meteomatics)'!K141:K143,'METCM (Meteomatics)'!K150:K152,'METCM (Meteomatics)'!K159:K161)</f>
        <v>12</v>
      </c>
    </row>
    <row r="40" spans="1:10">
      <c r="A40" s="63"/>
      <c r="B40" s="235"/>
      <c r="C40" s="238"/>
      <c r="D40" s="241"/>
      <c r="E40" s="249"/>
      <c r="F40" s="241"/>
      <c r="G40" s="196"/>
      <c r="H40" s="67" t="s">
        <v>218</v>
      </c>
      <c r="I40" s="100">
        <f>AVERAGE('METCM (Meteomatics)'!J132:J134,'METCM (Meteomatics)'!J141:J143,'METCM (Meteomatics)'!J150:J152,'METCM (Meteomatics)'!J159:J161)</f>
        <v>190.70864275</v>
      </c>
      <c r="J40" s="101">
        <f>AVERAGE('METCM (Meteomatics)'!K132:K134,'METCM (Meteomatics)'!K141:K143,'METCM (Meteomatics)'!K150:K152,'METCM (Meteomatics)'!K159:K161)</f>
        <v>28.14313108333333</v>
      </c>
    </row>
    <row r="41" spans="1:10">
      <c r="A41" s="63"/>
      <c r="B41" s="235"/>
      <c r="C41" s="238"/>
      <c r="D41" s="241"/>
      <c r="E41" s="249"/>
      <c r="F41" s="241"/>
      <c r="G41" s="196"/>
      <c r="H41" s="67" t="s">
        <v>219</v>
      </c>
      <c r="I41" s="100">
        <f>_xlfn.STDEV.S('METCM (Meteomatics)'!J132:J134,'METCM (Meteomatics)'!J141:J143,'METCM (Meteomatics)'!J150:J152,'METCM (Meteomatics)'!J159:J161)</f>
        <v>140.53755904808054</v>
      </c>
      <c r="J41" s="101">
        <f>_xlfn.STDEV.S('METCM (Meteomatics)'!K132:K134,'METCM (Meteomatics)'!K141:K143,'METCM (Meteomatics)'!K150:K152,'METCM (Meteomatics)'!K159:K161)</f>
        <v>0.82251518252264788</v>
      </c>
    </row>
    <row r="42" spans="1:10">
      <c r="A42" s="63"/>
      <c r="B42" s="235"/>
      <c r="C42" s="238"/>
      <c r="D42" s="241"/>
      <c r="E42" s="249"/>
      <c r="F42" s="241"/>
      <c r="G42" s="196"/>
      <c r="H42" s="67" t="s">
        <v>220</v>
      </c>
      <c r="I42" s="25">
        <f>MEDIAN('METCM (Meteomatics)'!J132:J134,'METCM (Meteomatics)'!J141:J143,'METCM (Meteomatics)'!J150:J152,'METCM (Meteomatics)'!J159:J161)</f>
        <v>138.85674299999999</v>
      </c>
      <c r="J42" s="88">
        <f>MEDIAN('METCM (Meteomatics)'!K132:K134,'METCM (Meteomatics)'!K141:K143,'METCM (Meteomatics)'!K150:K152,'METCM (Meteomatics)'!K159:K161)</f>
        <v>27.833137999999998</v>
      </c>
    </row>
    <row r="43" spans="1:10">
      <c r="A43" s="63"/>
      <c r="B43" s="235"/>
      <c r="C43" s="238"/>
      <c r="D43" s="241"/>
      <c r="E43" s="249"/>
      <c r="F43" s="241"/>
      <c r="G43" s="196"/>
      <c r="H43" s="67" t="s">
        <v>221</v>
      </c>
      <c r="I43" s="25">
        <f ca="1">_xlfn.QUARTILE.INC(('METCM (Meteomatics)'!J132:J134,'METCM (Meteomatics)'!J141:J143,'METCM (Meteomatics)'!J150:J152,'METCM (Meteomatics)'!J159:J161),1)</f>
        <v>82.528968999999989</v>
      </c>
      <c r="J43" s="89">
        <f ca="1">_xlfn.QUARTILE.INC(('METCM (Meteomatics)'!K132:K134,'METCM (Meteomatics)'!K141:K143,'METCM (Meteomatics)'!K150:K152,'METCM (Meteomatics)'!K159:K161),1)</f>
        <v>27.528995500000001</v>
      </c>
    </row>
    <row r="44" spans="1:10">
      <c r="A44" s="63"/>
      <c r="B44" s="235"/>
      <c r="C44" s="238"/>
      <c r="D44" s="241"/>
      <c r="E44" s="249"/>
      <c r="F44" s="241"/>
      <c r="G44" s="196"/>
      <c r="H44" s="67" t="s">
        <v>222</v>
      </c>
      <c r="I44" s="73">
        <f ca="1">_xlfn.QUARTILE.INC(('METCM (Meteomatics)'!J132:J134,'METCM (Meteomatics)'!J141:J143,'METCM (Meteomatics)'!J150:J152,'METCM (Meteomatics)'!J159:J161),3)</f>
        <v>239.40121424999998</v>
      </c>
      <c r="J44" s="89">
        <f ca="1">_xlfn.QUARTILE.INC(('METCM (Meteomatics)'!K132:K134,'METCM (Meteomatics)'!K141:K143,'METCM (Meteomatics)'!K150:K152,'METCM (Meteomatics)'!K159:K161),3)</f>
        <v>28.377958750000001</v>
      </c>
    </row>
    <row r="45" spans="1:10">
      <c r="A45" s="63"/>
      <c r="B45" s="235"/>
      <c r="C45" s="238"/>
      <c r="D45" s="241"/>
      <c r="E45" s="249"/>
      <c r="F45" s="241"/>
      <c r="G45" s="196"/>
      <c r="H45" s="67" t="s">
        <v>224</v>
      </c>
      <c r="I45" s="73">
        <f ca="1">I44-I43</f>
        <v>156.87224524999999</v>
      </c>
      <c r="J45" s="89">
        <f ca="1">J44-J43</f>
        <v>0.84896325000000061</v>
      </c>
    </row>
    <row r="46" spans="1:10">
      <c r="A46" s="63"/>
      <c r="B46" s="235"/>
      <c r="C46" s="238"/>
      <c r="D46" s="241"/>
      <c r="E46" s="249"/>
      <c r="F46" s="241"/>
      <c r="G46" s="196"/>
      <c r="H46" s="67" t="s">
        <v>225</v>
      </c>
      <c r="I46" s="73">
        <f>I40-_xlfn.CONFIDENCE.T(0.05,I41,I39)</f>
        <v>101.41533779940978</v>
      </c>
      <c r="J46" s="89">
        <f>J40-_xlfn.CONFIDENCE.T(0.05,J41,J39)</f>
        <v>27.620529868989212</v>
      </c>
    </row>
    <row r="47" spans="1:10">
      <c r="A47" s="63"/>
      <c r="B47" s="235"/>
      <c r="C47" s="238"/>
      <c r="D47" s="241"/>
      <c r="E47" s="250"/>
      <c r="F47" s="241"/>
      <c r="G47" s="196"/>
      <c r="H47" s="67" t="s">
        <v>226</v>
      </c>
      <c r="I47" s="73">
        <f>I40+_xlfn.CONFIDENCE.T(0.05,I41,I39)</f>
        <v>280.00194770059022</v>
      </c>
      <c r="J47" s="89">
        <f>J40+_xlfn.CONFIDENCE.T(0.05,J41,J39)</f>
        <v>28.665732297677447</v>
      </c>
    </row>
    <row r="48" spans="1:10">
      <c r="A48" s="46"/>
      <c r="B48" s="235"/>
      <c r="C48" s="238"/>
      <c r="D48" s="241"/>
      <c r="E48" s="208" t="s">
        <v>47</v>
      </c>
      <c r="F48" s="241"/>
      <c r="G48" s="196"/>
      <c r="H48" s="67" t="s">
        <v>217</v>
      </c>
      <c r="I48" s="24">
        <f>COUNT('METCM (Meteomatics)'!J135:J137,'METCM (Meteomatics)'!J144:J146,'METCM (Meteomatics)'!J153:J155,'METCM (Meteomatics)'!J162:J164)</f>
        <v>12</v>
      </c>
      <c r="J48" s="90">
        <f>COUNT('METCM (Meteomatics)'!K135:K137,'METCM (Meteomatics)'!K144:K146,'METCM (Meteomatics)'!K153:K155,'METCM (Meteomatics)'!K162:K164)</f>
        <v>12</v>
      </c>
    </row>
    <row r="49" spans="1:12">
      <c r="A49" s="46"/>
      <c r="B49" s="235"/>
      <c r="C49" s="238"/>
      <c r="D49" s="241"/>
      <c r="E49" s="251"/>
      <c r="F49" s="241"/>
      <c r="G49" s="196"/>
      <c r="H49" s="67" t="s">
        <v>218</v>
      </c>
      <c r="I49" s="102">
        <f>AVERAGE('METCM (Meteomatics)'!J135:J137,'METCM (Meteomatics)'!J144:J146,'METCM (Meteomatics)'!J153:J155,'METCM (Meteomatics)'!J162:J164)</f>
        <v>312.73288266666668</v>
      </c>
      <c r="J49" s="103">
        <f>AVERAGE('METCM (Meteomatics)'!K135:K137,'METCM (Meteomatics)'!K144:K146,'METCM (Meteomatics)'!K153:K155,'METCM (Meteomatics)'!K162:K164)</f>
        <v>36.823745416666661</v>
      </c>
    </row>
    <row r="50" spans="1:12">
      <c r="A50" s="46"/>
      <c r="B50" s="235"/>
      <c r="C50" s="238"/>
      <c r="D50" s="241"/>
      <c r="E50" s="251"/>
      <c r="F50" s="241"/>
      <c r="G50" s="196"/>
      <c r="H50" s="67" t="s">
        <v>219</v>
      </c>
      <c r="I50" s="102">
        <f>_xlfn.STDEV.S('METCM (Meteomatics)'!J135:J137,'METCM (Meteomatics)'!J144:J146,'METCM (Meteomatics)'!J153:J155,'METCM (Meteomatics)'!J162:J164)</f>
        <v>252.98578785411945</v>
      </c>
      <c r="J50" s="103">
        <f>_xlfn.STDEV.S('METCM (Meteomatics)'!K135:K137,'METCM (Meteomatics)'!K144:K146,'METCM (Meteomatics)'!K153:K155,'METCM (Meteomatics)'!K162:K164)</f>
        <v>1.863583555079761</v>
      </c>
    </row>
    <row r="51" spans="1:12">
      <c r="A51" s="46"/>
      <c r="B51" s="235"/>
      <c r="C51" s="238"/>
      <c r="D51" s="241"/>
      <c r="E51" s="251"/>
      <c r="F51" s="241"/>
      <c r="G51" s="196"/>
      <c r="H51" s="67" t="s">
        <v>220</v>
      </c>
      <c r="I51" s="24">
        <f>MEDIAN('METCM (Meteomatics)'!J135:J137,'METCM (Meteomatics)'!J144:J146,'METCM (Meteomatics)'!J153:J155,'METCM (Meteomatics)'!J162:J164)</f>
        <v>224.895624</v>
      </c>
      <c r="J51" s="91">
        <f>MEDIAN('METCM (Meteomatics)'!K135:K137,'METCM (Meteomatics)'!K144:K146,'METCM (Meteomatics)'!K153:K155,'METCM (Meteomatics)'!K162:K164)</f>
        <v>36.122539500000002</v>
      </c>
    </row>
    <row r="52" spans="1:12">
      <c r="A52" s="46"/>
      <c r="B52" s="235"/>
      <c r="C52" s="238"/>
      <c r="D52" s="241"/>
      <c r="E52" s="251"/>
      <c r="F52" s="241"/>
      <c r="G52" s="196"/>
      <c r="H52" s="67" t="s">
        <v>221</v>
      </c>
      <c r="I52" s="24">
        <f ca="1">_xlfn.QUARTILE.INC(('METCM (Meteomatics)'!J135:J137,'METCM (Meteomatics)'!J144:J146,'METCM (Meteomatics)'!J153:J155,'METCM (Meteomatics)'!J162:J164),1)</f>
        <v>116.729382</v>
      </c>
      <c r="J52" s="90">
        <f ca="1">_xlfn.QUARTILE.INC(('METCM (Meteomatics)'!K135:K137,'METCM (Meteomatics)'!K144:K146,'METCM (Meteomatics)'!K153:K155,'METCM (Meteomatics)'!K162:K164),1)</f>
        <v>35.495508999999998</v>
      </c>
    </row>
    <row r="53" spans="1:12">
      <c r="A53" s="46"/>
      <c r="B53" s="235"/>
      <c r="C53" s="238"/>
      <c r="D53" s="241"/>
      <c r="E53" s="251"/>
      <c r="F53" s="241"/>
      <c r="G53" s="196"/>
      <c r="H53" s="67" t="s">
        <v>222</v>
      </c>
      <c r="I53" s="74">
        <f ca="1">_xlfn.QUARTILE.INC(('METCM (Meteomatics)'!J135:J137,'METCM (Meteomatics)'!J144:J146,'METCM (Meteomatics)'!J153:J155,'METCM (Meteomatics)'!J162:J164),3)</f>
        <v>408.27455425000005</v>
      </c>
      <c r="J53" s="91">
        <f ca="1">_xlfn.QUARTILE.INC(('METCM (Meteomatics)'!K135:K137,'METCM (Meteomatics)'!K144:K146,'METCM (Meteomatics)'!K153:K155,'METCM (Meteomatics)'!K162:K164),3)</f>
        <v>37.345130249999997</v>
      </c>
    </row>
    <row r="54" spans="1:12">
      <c r="A54" s="46"/>
      <c r="B54" s="235"/>
      <c r="C54" s="238"/>
      <c r="D54" s="241"/>
      <c r="E54" s="251"/>
      <c r="F54" s="241"/>
      <c r="G54" s="196"/>
      <c r="H54" s="67" t="s">
        <v>224</v>
      </c>
      <c r="I54" s="74">
        <f ca="1">I53-I52</f>
        <v>291.54517225000006</v>
      </c>
      <c r="J54" s="91">
        <f ca="1">J53-J52</f>
        <v>1.8496212499999984</v>
      </c>
    </row>
    <row r="55" spans="1:12">
      <c r="A55" s="46"/>
      <c r="B55" s="235"/>
      <c r="C55" s="238"/>
      <c r="D55" s="241"/>
      <c r="E55" s="251"/>
      <c r="F55" s="241"/>
      <c r="G55" s="196"/>
      <c r="H55" s="67" t="s">
        <v>225</v>
      </c>
      <c r="I55" s="74">
        <f>I49-_xlfn.CONFIDENCE.T(0.05,I50,I48)</f>
        <v>151.99338173869933</v>
      </c>
      <c r="J55" s="91">
        <f>J49-_xlfn.CONFIDENCE.T(0.05,J50,J48)</f>
        <v>35.639680915961108</v>
      </c>
    </row>
    <row r="56" spans="1:12">
      <c r="A56" s="47"/>
      <c r="B56" s="236"/>
      <c r="C56" s="239"/>
      <c r="D56" s="242"/>
      <c r="E56" s="252"/>
      <c r="F56" s="242"/>
      <c r="G56" s="197"/>
      <c r="H56" s="68" t="s">
        <v>226</v>
      </c>
      <c r="I56" s="75">
        <f>I49+_xlfn.CONFIDENCE.T(0.05,I50,I48)</f>
        <v>473.47238359463404</v>
      </c>
      <c r="J56" s="92">
        <f>J49+_xlfn.CONFIDENCE.T(0.05,J50,J48)</f>
        <v>38.007809917372214</v>
      </c>
    </row>
    <row r="57" spans="1:12">
      <c r="A57" s="83"/>
      <c r="B57" s="235" t="s">
        <v>29</v>
      </c>
      <c r="C57" s="238" t="s">
        <v>11</v>
      </c>
      <c r="D57" s="247" t="s">
        <v>18</v>
      </c>
      <c r="E57" s="247" t="s">
        <v>40</v>
      </c>
      <c r="F57" s="241" t="s">
        <v>228</v>
      </c>
      <c r="G57" s="209">
        <v>3000</v>
      </c>
      <c r="H57" s="69" t="s">
        <v>217</v>
      </c>
      <c r="I57" s="191">
        <f>COUNT('METCM (Meteomatics)'!J3:J5,'METCM (Meteomatics)'!J12:J14,'METCM (Meteomatics)'!J21:J23,'METCM (Meteomatics)'!J30:J32,'METCM (Meteomatics)'!J39:J41,'METCM (Meteomatics)'!J48:J50,'METCM (Meteomatics)'!J57:J59,'METCM (Meteomatics)'!J66:J68,'METCM (Meteomatics)'!J75:J77,'METCM (Meteomatics)'!J84:J86,'METCM (Meteomatics)'!J93:J95,'METCM (Meteomatics)'!J102:J104,'METCM (Meteomatics)'!J111:J113,'METCM (Meteomatics)'!J120:J122)</f>
        <v>42</v>
      </c>
      <c r="J57" s="94">
        <f>COUNT('METCM (Meteomatics)'!K3:K5,'METCM (Meteomatics)'!K12:K14,'METCM (Meteomatics)'!K21:K23,'METCM (Meteomatics)'!K30:K32,'METCM (Meteomatics)'!K39:K41,'METCM (Meteomatics)'!K48:K50,'METCM (Meteomatics)'!K57:K59,'METCM (Meteomatics)'!K66:K68,'METCM (Meteomatics)'!K75:K77,'METCM (Meteomatics)'!K84:K86,'METCM (Meteomatics)'!K93:K95,'METCM (Meteomatics)'!K102:K104,'METCM (Meteomatics)'!K111:K113,'METCM (Meteomatics)'!K120:K122)</f>
        <v>42</v>
      </c>
    </row>
    <row r="58" spans="1:12">
      <c r="A58" s="83"/>
      <c r="B58" s="235"/>
      <c r="C58" s="238"/>
      <c r="D58" s="247"/>
      <c r="E58" s="247"/>
      <c r="F58" s="241"/>
      <c r="G58" s="209"/>
      <c r="H58" s="69" t="s">
        <v>218</v>
      </c>
      <c r="I58" s="98">
        <f>AVERAGE('METCM (Meteomatics)'!J3:J5,'METCM (Meteomatics)'!J12:J14,'METCM (Meteomatics)'!J21:J23,'METCM (Meteomatics)'!J30:J32,'METCM (Meteomatics)'!J39:J41,'METCM (Meteomatics)'!J48:J50,'METCM (Meteomatics)'!J57:J59,'METCM (Meteomatics)'!J66:J68,'METCM (Meteomatics)'!J75:J77,'METCM (Meteomatics)'!J84:J86,'METCM (Meteomatics)'!J93:J95,'METCM (Meteomatics)'!J102:J104,'METCM (Meteomatics)'!J111:J113,'METCM (Meteomatics)'!J120:J122)</f>
        <v>68.208813214285712</v>
      </c>
      <c r="J58" s="99">
        <f>AVERAGE('METCM (Meteomatics)'!K3:K5,'METCM (Meteomatics)'!K12:K14,'METCM (Meteomatics)'!K21:K23,'METCM (Meteomatics)'!K30:K32,'METCM (Meteomatics)'!K39:K41,'METCM (Meteomatics)'!K48:K50,'METCM (Meteomatics)'!K57:K59,'METCM (Meteomatics)'!K66:K68,'METCM (Meteomatics)'!K75:K77,'METCM (Meteomatics)'!K84:K86,'METCM (Meteomatics)'!K93:K95,'METCM (Meteomatics)'!K102:K104,'METCM (Meteomatics)'!K111:K113,'METCM (Meteomatics)'!K120:K122)</f>
        <v>22.576645761904757</v>
      </c>
    </row>
    <row r="59" spans="1:12">
      <c r="A59" s="83"/>
      <c r="B59" s="235"/>
      <c r="C59" s="238"/>
      <c r="D59" s="247"/>
      <c r="E59" s="247"/>
      <c r="F59" s="241"/>
      <c r="G59" s="209"/>
      <c r="H59" s="69" t="s">
        <v>219</v>
      </c>
      <c r="I59" s="98">
        <f>_xlfn.STDEV.S('METCM (Meteomatics)'!J3:J5,'METCM (Meteomatics)'!J12:J14,'METCM (Meteomatics)'!J21:J23,'METCM (Meteomatics)'!J30:J32,'METCM (Meteomatics)'!J39:J41,'METCM (Meteomatics)'!J48:J50,'METCM (Meteomatics)'!J57:J59,'METCM (Meteomatics)'!J66:J68,'METCM (Meteomatics)'!J75:J77,'METCM (Meteomatics)'!J84:J86,'METCM (Meteomatics)'!J93:J95,'METCM (Meteomatics)'!J102:J104,'METCM (Meteomatics)'!J111:J113,'METCM (Meteomatics)'!J120:J122)</f>
        <v>10.038235192317021</v>
      </c>
      <c r="J59" s="99">
        <f>_xlfn.STDEV.S('METCM (Meteomatics)'!K3:K5,'METCM (Meteomatics)'!K12:K14,'METCM (Meteomatics)'!K21:K23,'METCM (Meteomatics)'!K30:K32,'METCM (Meteomatics)'!K39:K41,'METCM (Meteomatics)'!K48:K50,'METCM (Meteomatics)'!K57:K59,'METCM (Meteomatics)'!K66:K68,'METCM (Meteomatics)'!K75:K77,'METCM (Meteomatics)'!K84:K86,'METCM (Meteomatics)'!K93:K95,'METCM (Meteomatics)'!K102:K104,'METCM (Meteomatics)'!K111:K113,'METCM (Meteomatics)'!K120:K122)</f>
        <v>1.7956464705947153</v>
      </c>
    </row>
    <row r="60" spans="1:12">
      <c r="A60" s="83"/>
      <c r="B60" s="235"/>
      <c r="C60" s="238"/>
      <c r="D60" s="247"/>
      <c r="E60" s="247"/>
      <c r="F60" s="241"/>
      <c r="G60" s="209"/>
      <c r="H60" s="69" t="s">
        <v>220</v>
      </c>
      <c r="I60" s="72">
        <f>MEDIAN('METCM (Meteomatics)'!J3:J5,'METCM (Meteomatics)'!J12:J14,'METCM (Meteomatics)'!J21:J23,'METCM (Meteomatics)'!J30:J32,'METCM (Meteomatics)'!J39:J41,'METCM (Meteomatics)'!J48:J50,'METCM (Meteomatics)'!J57:J59,'METCM (Meteomatics)'!J66:J68,'METCM (Meteomatics)'!J75:J77,'METCM (Meteomatics)'!J84:J86,'METCM (Meteomatics)'!J93:J95,'METCM (Meteomatics)'!J102:J104,'METCM (Meteomatics)'!J111:J113,'METCM (Meteomatics)'!J120:J122)</f>
        <v>64.042355999999998</v>
      </c>
      <c r="J60" s="86">
        <f>MEDIAN('METCM (Meteomatics)'!K3:K5,'METCM (Meteomatics)'!K12:K14,'METCM (Meteomatics)'!K21:K23,'METCM (Meteomatics)'!K30:K32,'METCM (Meteomatics)'!K39:K41,'METCM (Meteomatics)'!K48:K50,'METCM (Meteomatics)'!K57:K59,'METCM (Meteomatics)'!K66:K68,'METCM (Meteomatics)'!K75:K77,'METCM (Meteomatics)'!K84:K86,'METCM (Meteomatics)'!K93:K95,'METCM (Meteomatics)'!K102:K104,'METCM (Meteomatics)'!K111:K113,'METCM (Meteomatics)'!K120:K122)</f>
        <v>21.876559</v>
      </c>
    </row>
    <row r="61" spans="1:12">
      <c r="A61" s="62"/>
      <c r="B61" s="235"/>
      <c r="C61" s="238"/>
      <c r="D61" s="241"/>
      <c r="E61" s="247"/>
      <c r="F61" s="241"/>
      <c r="G61" s="196"/>
      <c r="H61" s="67" t="s">
        <v>221</v>
      </c>
      <c r="I61" s="84">
        <f ca="1">_xlfn.QUARTILE.INC(('METCM (Meteomatics)'!J3:J5,'METCM (Meteomatics)'!J12:J14,'METCM (Meteomatics)'!J21:J23,'METCM (Meteomatics)'!J30:J32,'METCM (Meteomatics)'!J39:J41,'METCM (Meteomatics)'!J48:J50,'METCM (Meteomatics)'!J57:J59,'METCM (Meteomatics)'!J66:J68,'METCM (Meteomatics)'!J75:J77,'METCM (Meteomatics)'!J84:J86,'METCM (Meteomatics)'!J93:J95,'METCM (Meteomatics)'!J102:J104,'METCM (Meteomatics)'!J111:J113,'METCM (Meteomatics)'!J120:J122),1)</f>
        <v>60.000689999999999</v>
      </c>
      <c r="J61" s="87">
        <f ca="1">_xlfn.QUARTILE.INC(('METCM (Meteomatics)'!K3:K5,'METCM (Meteomatics)'!K12:K14,'METCM (Meteomatics)'!K21:K23,'METCM (Meteomatics)'!K30:K32,'METCM (Meteomatics)'!K39:K41,'METCM (Meteomatics)'!K48:K50,'METCM (Meteomatics)'!K57:K59,'METCM (Meteomatics)'!K66:K68,'METCM (Meteomatics)'!K75:K77,'METCM (Meteomatics)'!K84:K86,'METCM (Meteomatics)'!K93:K95,'METCM (Meteomatics)'!K102:K104,'METCM (Meteomatics)'!K111:K113,'METCM (Meteomatics)'!K120:K122),1)</f>
        <v>21.479463500000001</v>
      </c>
      <c r="L61" s="82"/>
    </row>
    <row r="62" spans="1:12">
      <c r="A62" s="62"/>
      <c r="B62" s="235"/>
      <c r="C62" s="238"/>
      <c r="D62" s="241"/>
      <c r="E62" s="247"/>
      <c r="F62" s="241"/>
      <c r="G62" s="196"/>
      <c r="H62" s="67" t="s">
        <v>222</v>
      </c>
      <c r="I62" s="84">
        <f ca="1">_xlfn.QUARTILE.INC(('METCM (Meteomatics)'!J3:J5,'METCM (Meteomatics)'!J12:J14,'METCM (Meteomatics)'!J21:J23,'METCM (Meteomatics)'!J30:J32,'METCM (Meteomatics)'!J39:J41,'METCM (Meteomatics)'!J48:J50,'METCM (Meteomatics)'!J57:J59,'METCM (Meteomatics)'!J66:J68,'METCM (Meteomatics)'!J75:J77,'METCM (Meteomatics)'!J84:J86,'METCM (Meteomatics)'!J93:J95,'METCM (Meteomatics)'!J102:J104,'METCM (Meteomatics)'!J111:J113,'METCM (Meteomatics)'!J120:J122),3)</f>
        <v>75.999228250000002</v>
      </c>
      <c r="J62" s="87">
        <f ca="1">_xlfn.QUARTILE.INC(('METCM (Meteomatics)'!K3:K5,'METCM (Meteomatics)'!K12:K14,'METCM (Meteomatics)'!K21:K23,'METCM (Meteomatics)'!K30:K32,'METCM (Meteomatics)'!K39:K41,'METCM (Meteomatics)'!K48:K50,'METCM (Meteomatics)'!K57:K59,'METCM (Meteomatics)'!K66:K68,'METCM (Meteomatics)'!K75:K77,'METCM (Meteomatics)'!K84:K86,'METCM (Meteomatics)'!K93:K95,'METCM (Meteomatics)'!K102:K104,'METCM (Meteomatics)'!K111:K113,'METCM (Meteomatics)'!K120:K122),3)</f>
        <v>23.586931499999999</v>
      </c>
    </row>
    <row r="63" spans="1:12" ht="15" customHeight="1">
      <c r="A63" s="62"/>
      <c r="B63" s="235"/>
      <c r="C63" s="238"/>
      <c r="D63" s="241"/>
      <c r="E63" s="247"/>
      <c r="F63" s="241"/>
      <c r="G63" s="196">
        <v>3000</v>
      </c>
      <c r="H63" s="67" t="s">
        <v>224</v>
      </c>
      <c r="I63" s="72">
        <f ca="1">I62-I61</f>
        <v>15.998538250000003</v>
      </c>
      <c r="J63" s="86">
        <f ca="1">J62-J61</f>
        <v>2.1074679999999972</v>
      </c>
    </row>
    <row r="64" spans="1:12">
      <c r="A64" s="62"/>
      <c r="B64" s="235"/>
      <c r="C64" s="238"/>
      <c r="D64" s="241"/>
      <c r="E64" s="247"/>
      <c r="F64" s="241"/>
      <c r="G64" s="196"/>
      <c r="H64" s="67" t="s">
        <v>225</v>
      </c>
      <c r="I64" s="72">
        <f>I58-_xlfn.CONFIDENCE.T(0.05,I59,I57)</f>
        <v>65.080678918341562</v>
      </c>
      <c r="J64" s="86">
        <f>J58-_xlfn.CONFIDENCE.T(0.05,J59,J57)</f>
        <v>22.017082930346724</v>
      </c>
    </row>
    <row r="65" spans="1:10">
      <c r="A65" s="62"/>
      <c r="B65" s="235"/>
      <c r="C65" s="238"/>
      <c r="D65" s="241"/>
      <c r="E65" s="210"/>
      <c r="F65" s="241"/>
      <c r="G65" s="196"/>
      <c r="H65" s="67" t="s">
        <v>226</v>
      </c>
      <c r="I65" s="72">
        <f>I58+_xlfn.CONFIDENCE.T(0.05,I59,I57)</f>
        <v>71.336947510229862</v>
      </c>
      <c r="J65" s="86">
        <f>J58+_xlfn.CONFIDENCE.T(0.05,J59,J57)</f>
        <v>23.13620859346279</v>
      </c>
    </row>
    <row r="66" spans="1:10">
      <c r="A66" s="63"/>
      <c r="B66" s="235"/>
      <c r="C66" s="238"/>
      <c r="D66" s="241"/>
      <c r="E66" s="248" t="s">
        <v>42</v>
      </c>
      <c r="F66" s="241"/>
      <c r="G66" s="196"/>
      <c r="H66" s="67" t="s">
        <v>217</v>
      </c>
      <c r="I66" s="25">
        <f>COUNT('METCM (Meteomatics)'!J6:J8,'METCM (Meteomatics)'!J15:J17,'METCM (Meteomatics)'!J24:J26,'METCM (Meteomatics)'!J33:J35,'METCM (Meteomatics)'!J42:J44,'METCM (Meteomatics)'!J51:J53,'METCM (Meteomatics)'!J60:J62,'METCM (Meteomatics)'!J69:J71,'METCM (Meteomatics)'!J78:J80,'METCM (Meteomatics)'!J87:J89,'METCM (Meteomatics)'!J96:J98,'METCM (Meteomatics)'!J105:J107,'METCM (Meteomatics)'!J114:J116,'METCM (Meteomatics)'!J123:J125)</f>
        <v>42</v>
      </c>
      <c r="J66" s="88">
        <f>COUNT('METCM (Meteomatics)'!K6:K8,'METCM (Meteomatics)'!K15:K17,'METCM (Meteomatics)'!K24:K26,'METCM (Meteomatics)'!K33:K35,'METCM (Meteomatics)'!K42:K44,'METCM (Meteomatics)'!K51:K53,'METCM (Meteomatics)'!K60:K62,'METCM (Meteomatics)'!K69:K71,'METCM (Meteomatics)'!K78:K80,'METCM (Meteomatics)'!K87:K89,'METCM (Meteomatics)'!K96:K98,'METCM (Meteomatics)'!K105:K107,'METCM (Meteomatics)'!K114:K116,'METCM (Meteomatics)'!K123:K125)</f>
        <v>42</v>
      </c>
    </row>
    <row r="67" spans="1:10">
      <c r="A67" s="63"/>
      <c r="B67" s="235"/>
      <c r="C67" s="238"/>
      <c r="D67" s="241"/>
      <c r="E67" s="249"/>
      <c r="F67" s="241"/>
      <c r="G67" s="196"/>
      <c r="H67" s="67" t="s">
        <v>218</v>
      </c>
      <c r="I67" s="100">
        <f>AVERAGE('METCM (Meteomatics)'!J6:J8,'METCM (Meteomatics)'!J15:J17,'METCM (Meteomatics)'!J24:J26,'METCM (Meteomatics)'!J33:J35,'METCM (Meteomatics)'!J42:J44,'METCM (Meteomatics)'!J51:J53,'METCM (Meteomatics)'!J60:J62,'METCM (Meteomatics)'!J69:J71,'METCM (Meteomatics)'!J78:J80,'METCM (Meteomatics)'!J87:J89,'METCM (Meteomatics)'!J96:J98,'METCM (Meteomatics)'!J105:J107,'METCM (Meteomatics)'!J114:J116,'METCM (Meteomatics)'!J123:J125)</f>
        <v>201.55857790476188</v>
      </c>
      <c r="J67" s="101">
        <f>AVERAGE('METCM (Meteomatics)'!K6:K8,'METCM (Meteomatics)'!K15:K17,'METCM (Meteomatics)'!K24:K26,'METCM (Meteomatics)'!K33:K35,'METCM (Meteomatics)'!K42:K44,'METCM (Meteomatics)'!K51:K53,'METCM (Meteomatics)'!K60:K62,'METCM (Meteomatics)'!K69:K71,'METCM (Meteomatics)'!K78:K80,'METCM (Meteomatics)'!K87:K89,'METCM (Meteomatics)'!K96:K98,'METCM (Meteomatics)'!K105:K107,'METCM (Meteomatics)'!K114:K116,'METCM (Meteomatics)'!K123:K125)</f>
        <v>38.702433357142858</v>
      </c>
    </row>
    <row r="68" spans="1:10">
      <c r="A68" s="63"/>
      <c r="B68" s="235"/>
      <c r="C68" s="238"/>
      <c r="D68" s="241"/>
      <c r="E68" s="249"/>
      <c r="F68" s="241"/>
      <c r="G68" s="196"/>
      <c r="H68" s="67" t="s">
        <v>219</v>
      </c>
      <c r="I68" s="100">
        <f>_xlfn.STDEV.S('METCM (Meteomatics)'!J6:J8,'METCM (Meteomatics)'!J15:J17,'METCM (Meteomatics)'!J24:J26,'METCM (Meteomatics)'!J33:J35,'METCM (Meteomatics)'!J42:J44,'METCM (Meteomatics)'!J51:J53,'METCM (Meteomatics)'!J60:J62,'METCM (Meteomatics)'!J69:J71,'METCM (Meteomatics)'!J78:J80,'METCM (Meteomatics)'!J87:J89,'METCM (Meteomatics)'!J96:J98,'METCM (Meteomatics)'!J105:J107,'METCM (Meteomatics)'!J114:J116,'METCM (Meteomatics)'!J123:J125)</f>
        <v>79.209583257461176</v>
      </c>
      <c r="J68" s="101">
        <f>_xlfn.STDEV.S('METCM (Meteomatics)'!K6:K8,'METCM (Meteomatics)'!K15:K17,'METCM (Meteomatics)'!K24:K26,'METCM (Meteomatics)'!K33:K35,'METCM (Meteomatics)'!K42:K44,'METCM (Meteomatics)'!K51:K53,'METCM (Meteomatics)'!K60:K62,'METCM (Meteomatics)'!K69:K71,'METCM (Meteomatics)'!K78:K80,'METCM (Meteomatics)'!K87:K89,'METCM (Meteomatics)'!K96:K98,'METCM (Meteomatics)'!K105:K107,'METCM (Meteomatics)'!K114:K116,'METCM (Meteomatics)'!K123:K125)</f>
        <v>9.2110208160806515</v>
      </c>
    </row>
    <row r="69" spans="1:10">
      <c r="A69" s="63"/>
      <c r="B69" s="235"/>
      <c r="C69" s="238"/>
      <c r="D69" s="241"/>
      <c r="E69" s="249"/>
      <c r="F69" s="241"/>
      <c r="G69" s="196"/>
      <c r="H69" s="67" t="s">
        <v>220</v>
      </c>
      <c r="I69" s="73">
        <f>MEDIAN('METCM (Meteomatics)'!J6:J8,'METCM (Meteomatics)'!J15:J17,'METCM (Meteomatics)'!J24:J26,'METCM (Meteomatics)'!J33:J35,'METCM (Meteomatics)'!J42:J44,'METCM (Meteomatics)'!J51:J53,'METCM (Meteomatics)'!J60:J62,'METCM (Meteomatics)'!J69:J71,'METCM (Meteomatics)'!J78:J80,'METCM (Meteomatics)'!J87:J89,'METCM (Meteomatics)'!J96:J98,'METCM (Meteomatics)'!J105:J107,'METCM (Meteomatics)'!J114:J116,'METCM (Meteomatics)'!J123:J125)</f>
        <v>184.98112350000002</v>
      </c>
      <c r="J69" s="88">
        <f>MEDIAN('METCM (Meteomatics)'!K6:K8,'METCM (Meteomatics)'!K15:K17,'METCM (Meteomatics)'!K24:K26,'METCM (Meteomatics)'!K33:K35,'METCM (Meteomatics)'!K42:K44,'METCM (Meteomatics)'!K51:K53,'METCM (Meteomatics)'!K60:K62,'METCM (Meteomatics)'!K69:K71,'METCM (Meteomatics)'!K78:K80,'METCM (Meteomatics)'!K87:K89,'METCM (Meteomatics)'!K96:K98,'METCM (Meteomatics)'!K105:K107,'METCM (Meteomatics)'!K114:K116,'METCM (Meteomatics)'!K123:K125)</f>
        <v>34.575802000000003</v>
      </c>
    </row>
    <row r="70" spans="1:10">
      <c r="A70" s="63"/>
      <c r="B70" s="235"/>
      <c r="C70" s="238"/>
      <c r="D70" s="241"/>
      <c r="E70" s="249"/>
      <c r="F70" s="241"/>
      <c r="G70" s="196"/>
      <c r="H70" s="67" t="s">
        <v>221</v>
      </c>
      <c r="I70" s="73">
        <f ca="1">_xlfn.QUARTILE.INC(('METCM (Meteomatics)'!J6:J8,'METCM (Meteomatics)'!J15:J17,'METCM (Meteomatics)'!J24:J26,'METCM (Meteomatics)'!J33:J35,'METCM (Meteomatics)'!J42:J44,'METCM (Meteomatics)'!J51:J53,'METCM (Meteomatics)'!J60:J62,'METCM (Meteomatics)'!J69:J71,'METCM (Meteomatics)'!J78:J80,'METCM (Meteomatics)'!J87:J89,'METCM (Meteomatics)'!J96:J98,'METCM (Meteomatics)'!J105:J107,'METCM (Meteomatics)'!J114:J116,'METCM (Meteomatics)'!J123:J125),1)</f>
        <v>177.27620949999999</v>
      </c>
      <c r="J70" s="89">
        <f ca="1">_xlfn.QUARTILE.INC(('METCM (Meteomatics)'!K6:K8,'METCM (Meteomatics)'!K15:K17,'METCM (Meteomatics)'!K24:K26,'METCM (Meteomatics)'!K33:K35,'METCM (Meteomatics)'!K42:K44,'METCM (Meteomatics)'!K51:K53,'METCM (Meteomatics)'!K60:K62,'METCM (Meteomatics)'!K69:K71,'METCM (Meteomatics)'!K78:K80,'METCM (Meteomatics)'!K87:K89,'METCM (Meteomatics)'!K96:K98,'METCM (Meteomatics)'!K105:K107,'METCM (Meteomatics)'!K114:K116,'METCM (Meteomatics)'!K123:K125),1)</f>
        <v>31.79542975</v>
      </c>
    </row>
    <row r="71" spans="1:10">
      <c r="A71" s="63"/>
      <c r="B71" s="235"/>
      <c r="C71" s="238"/>
      <c r="D71" s="241"/>
      <c r="E71" s="249"/>
      <c r="F71" s="241"/>
      <c r="G71" s="196"/>
      <c r="H71" s="67" t="s">
        <v>222</v>
      </c>
      <c r="I71" s="73">
        <f ca="1">_xlfn.QUARTILE.INC(('METCM (Meteomatics)'!J6:J8,'METCM (Meteomatics)'!J15:J17,'METCM (Meteomatics)'!J24:J26,'METCM (Meteomatics)'!J33:J35,'METCM (Meteomatics)'!J42:J44,'METCM (Meteomatics)'!J51:J53,'METCM (Meteomatics)'!J60:J62,'METCM (Meteomatics)'!J69:J71,'METCM (Meteomatics)'!J78:J80,'METCM (Meteomatics)'!J87:J89,'METCM (Meteomatics)'!J96:J98,'METCM (Meteomatics)'!J105:J107,'METCM (Meteomatics)'!J114:J116,'METCM (Meteomatics)'!J123:J125),3)</f>
        <v>198.76024799999999</v>
      </c>
      <c r="J71" s="89">
        <f ca="1">_xlfn.QUARTILE.INC(('METCM (Meteomatics)'!K6:K8,'METCM (Meteomatics)'!K15:K17,'METCM (Meteomatics)'!K24:K26,'METCM (Meteomatics)'!K33:K35,'METCM (Meteomatics)'!K42:K44,'METCM (Meteomatics)'!K51:K53,'METCM (Meteomatics)'!K60:K62,'METCM (Meteomatics)'!K69:K71,'METCM (Meteomatics)'!K78:K80,'METCM (Meteomatics)'!K87:K89,'METCM (Meteomatics)'!K96:K98,'METCM (Meteomatics)'!K105:K107,'METCM (Meteomatics)'!K114:K116,'METCM (Meteomatics)'!K123:K125),3)</f>
        <v>45.534013999999999</v>
      </c>
    </row>
    <row r="72" spans="1:10">
      <c r="A72" s="63"/>
      <c r="B72" s="235"/>
      <c r="C72" s="238"/>
      <c r="D72" s="241"/>
      <c r="E72" s="249"/>
      <c r="F72" s="241"/>
      <c r="G72" s="196"/>
      <c r="H72" s="67" t="s">
        <v>224</v>
      </c>
      <c r="I72" s="73">
        <f ca="1">I71-I70</f>
        <v>21.484038499999997</v>
      </c>
      <c r="J72" s="89">
        <f ca="1">J71-J70</f>
        <v>13.738584249999999</v>
      </c>
    </row>
    <row r="73" spans="1:10">
      <c r="A73" s="63"/>
      <c r="B73" s="235"/>
      <c r="C73" s="238"/>
      <c r="D73" s="241"/>
      <c r="E73" s="249"/>
      <c r="F73" s="241"/>
      <c r="G73" s="196"/>
      <c r="H73" s="67" t="s">
        <v>225</v>
      </c>
      <c r="I73" s="73">
        <f>I67-_xlfn.CONFIDENCE.T(0.05,I68,I66)</f>
        <v>176.87513413122383</v>
      </c>
      <c r="J73" s="89">
        <f>J67-_xlfn.CONFIDENCE.T(0.05,J68,J66)</f>
        <v>35.832077207538966</v>
      </c>
    </row>
    <row r="74" spans="1:10">
      <c r="A74" s="63"/>
      <c r="B74" s="235"/>
      <c r="C74" s="238"/>
      <c r="D74" s="241"/>
      <c r="E74" s="250"/>
      <c r="F74" s="241"/>
      <c r="G74" s="196"/>
      <c r="H74" s="67" t="s">
        <v>226</v>
      </c>
      <c r="I74" s="73">
        <f>I67+_xlfn.CONFIDENCE.T(0.05,I68,I66)</f>
        <v>226.24202167829992</v>
      </c>
      <c r="J74" s="89">
        <f>J67+_xlfn.CONFIDENCE.T(0.05,J68,J66)</f>
        <v>41.572789506746751</v>
      </c>
    </row>
    <row r="75" spans="1:10">
      <c r="A75" s="46"/>
      <c r="B75" s="235"/>
      <c r="C75" s="238"/>
      <c r="D75" s="241"/>
      <c r="E75" s="208" t="s">
        <v>47</v>
      </c>
      <c r="F75" s="241"/>
      <c r="G75" s="196"/>
      <c r="H75" s="67" t="s">
        <v>217</v>
      </c>
      <c r="I75" s="24">
        <f>COUNT('METCM (Meteomatics)'!J9:J11,'METCM (Meteomatics)'!J18:J20,'METCM (Meteomatics)'!J27:J29,'METCM (Meteomatics)'!J36:J38,'METCM (Meteomatics)'!J45:J47,'METCM (Meteomatics)'!J54:J56,'METCM (Meteomatics)'!J63:J65,'METCM (Meteomatics)'!J72:J74,'METCM (Meteomatics)'!J81:J83,'METCM (Meteomatics)'!J90:J92,'METCM (Meteomatics)'!J99:J101,'METCM (Meteomatics)'!J108:J110,'METCM (Meteomatics)'!J117:J119,'METCM (Meteomatics)'!J126:J128)</f>
        <v>42</v>
      </c>
      <c r="J75" s="90">
        <f>COUNT('METCM (Meteomatics)'!K9:K11,'METCM (Meteomatics)'!K18:K20,'METCM (Meteomatics)'!K27:K29,'METCM (Meteomatics)'!K36:K38,'METCM (Meteomatics)'!K45:K47,'METCM (Meteomatics)'!K54:K56,'METCM (Meteomatics)'!K63:K65,'METCM (Meteomatics)'!K72:K74,'METCM (Meteomatics)'!K81:K83,'METCM (Meteomatics)'!K90:K92,'METCM (Meteomatics)'!K99:K101,'METCM (Meteomatics)'!K108:K110,'METCM (Meteomatics)'!K117:K119,'METCM (Meteomatics)'!K126:K128)</f>
        <v>42</v>
      </c>
    </row>
    <row r="76" spans="1:10">
      <c r="A76" s="46"/>
      <c r="B76" s="235"/>
      <c r="C76" s="238"/>
      <c r="D76" s="241"/>
      <c r="E76" s="251"/>
      <c r="F76" s="241"/>
      <c r="G76" s="196"/>
      <c r="H76" s="67" t="s">
        <v>218</v>
      </c>
      <c r="I76" s="102">
        <f>AVERAGE('METCM (Meteomatics)'!J9:J11,'METCM (Meteomatics)'!J18:J20,'METCM (Meteomatics)'!J27:J29,'METCM (Meteomatics)'!J36:J38,'METCM (Meteomatics)'!J45:J47,'METCM (Meteomatics)'!J54:J56,'METCM (Meteomatics)'!J63:J65,'METCM (Meteomatics)'!J72:J74,'METCM (Meteomatics)'!J81:J83,'METCM (Meteomatics)'!J90:J92,'METCM (Meteomatics)'!J99:J101,'METCM (Meteomatics)'!J108:J110,'METCM (Meteomatics)'!J117:J119,'METCM (Meteomatics)'!J126:J128)</f>
        <v>369.62214609523807</v>
      </c>
      <c r="J76" s="103">
        <f>AVERAGE('METCM (Meteomatics)'!K9:K11,'METCM (Meteomatics)'!K18:K20,'METCM (Meteomatics)'!K27:K29,'METCM (Meteomatics)'!K36:K38,'METCM (Meteomatics)'!K45:K47,'METCM (Meteomatics)'!K54:K56,'METCM (Meteomatics)'!K63:K65,'METCM (Meteomatics)'!K72:K74,'METCM (Meteomatics)'!K81:K83,'METCM (Meteomatics)'!K90:K92,'METCM (Meteomatics)'!K99:K101,'METCM (Meteomatics)'!K108:K110,'METCM (Meteomatics)'!K117:K119,'METCM (Meteomatics)'!K126:K128)</f>
        <v>48.53767038095237</v>
      </c>
    </row>
    <row r="77" spans="1:10">
      <c r="A77" s="46"/>
      <c r="B77" s="235"/>
      <c r="C77" s="238"/>
      <c r="D77" s="241"/>
      <c r="E77" s="251"/>
      <c r="F77" s="241"/>
      <c r="G77" s="196"/>
      <c r="H77" s="67" t="s">
        <v>219</v>
      </c>
      <c r="I77" s="102">
        <f>_xlfn.STDEV.S('METCM (Meteomatics)'!J9:J11,'METCM (Meteomatics)'!J18:J20,'METCM (Meteomatics)'!J27:J29,'METCM (Meteomatics)'!J36:J38,'METCM (Meteomatics)'!J45:J47,'METCM (Meteomatics)'!J54:J56,'METCM (Meteomatics)'!J63:J65,'METCM (Meteomatics)'!J72:J74,'METCM (Meteomatics)'!J81:J83,'METCM (Meteomatics)'!J90:J92,'METCM (Meteomatics)'!J99:J101,'METCM (Meteomatics)'!J108:J110,'METCM (Meteomatics)'!J117:J119,'METCM (Meteomatics)'!J126:J128)</f>
        <v>155.93290247859173</v>
      </c>
      <c r="J77" s="103">
        <f>_xlfn.STDEV.S('METCM (Meteomatics)'!K9:K11,'METCM (Meteomatics)'!K18:K20,'METCM (Meteomatics)'!K27:K29,'METCM (Meteomatics)'!K36:K38,'METCM (Meteomatics)'!K45:K47,'METCM (Meteomatics)'!K54:K56,'METCM (Meteomatics)'!K63:K65,'METCM (Meteomatics)'!K72:K74,'METCM (Meteomatics)'!K81:K83,'METCM (Meteomatics)'!K90:K92,'METCM (Meteomatics)'!K99:K101,'METCM (Meteomatics)'!K108:K110,'METCM (Meteomatics)'!K117:K119,'METCM (Meteomatics)'!K126:K128)</f>
        <v>9.8951330000126418</v>
      </c>
    </row>
    <row r="78" spans="1:10">
      <c r="A78" s="46"/>
      <c r="B78" s="235"/>
      <c r="C78" s="238"/>
      <c r="D78" s="241"/>
      <c r="E78" s="251"/>
      <c r="F78" s="241"/>
      <c r="G78" s="196"/>
      <c r="H78" s="67" t="s">
        <v>220</v>
      </c>
      <c r="I78" s="24">
        <f>MEDIAN('METCM (Meteomatics)'!J9:J11,'METCM (Meteomatics)'!J18:J20,'METCM (Meteomatics)'!J27:J29,'METCM (Meteomatics)'!J36:J38,'METCM (Meteomatics)'!J45:J47,'METCM (Meteomatics)'!J54:J56,'METCM (Meteomatics)'!J63:J65,'METCM (Meteomatics)'!J72:J74,'METCM (Meteomatics)'!J81:J83,'METCM (Meteomatics)'!J90:J92,'METCM (Meteomatics)'!J99:J101,'METCM (Meteomatics)'!J108:J110,'METCM (Meteomatics)'!J117:J119,'METCM (Meteomatics)'!J126:J128)</f>
        <v>336.20812100000001</v>
      </c>
      <c r="J78" s="91">
        <f>MEDIAN('METCM (Meteomatics)'!K9:K11,'METCM (Meteomatics)'!K18:K20,'METCM (Meteomatics)'!K27:K29,'METCM (Meteomatics)'!K36:K38,'METCM (Meteomatics)'!K45:K47,'METCM (Meteomatics)'!K54:K56,'METCM (Meteomatics)'!K63:K65,'METCM (Meteomatics)'!K72:K74,'METCM (Meteomatics)'!K81:K83,'METCM (Meteomatics)'!K90:K92,'METCM (Meteomatics)'!K99:K101,'METCM (Meteomatics)'!K108:K110,'METCM (Meteomatics)'!K117:K119,'METCM (Meteomatics)'!K126:K128)</f>
        <v>44.373007000000001</v>
      </c>
    </row>
    <row r="79" spans="1:10">
      <c r="A79" s="46"/>
      <c r="B79" s="235"/>
      <c r="C79" s="238"/>
      <c r="D79" s="241"/>
      <c r="E79" s="251"/>
      <c r="F79" s="241"/>
      <c r="G79" s="196"/>
      <c r="H79" s="67" t="s">
        <v>221</v>
      </c>
      <c r="I79" s="74">
        <f ca="1">_xlfn.QUARTILE.INC(('METCM (Meteomatics)'!J9:J11,'METCM (Meteomatics)'!J18:J20,'METCM (Meteomatics)'!J27:J29,'METCM (Meteomatics)'!J36:J38,'METCM (Meteomatics)'!J45:J47,'METCM (Meteomatics)'!J54:J56,'METCM (Meteomatics)'!J63:J65,'METCM (Meteomatics)'!J72:J74,'METCM (Meteomatics)'!J81:J83,'METCM (Meteomatics)'!J90:J92,'METCM (Meteomatics)'!J99:J101,'METCM (Meteomatics)'!J108:J110,'METCM (Meteomatics)'!J117:J119,'METCM (Meteomatics)'!J126:J128),1)</f>
        <v>327.12634750000001</v>
      </c>
      <c r="J79" s="91">
        <f ca="1">_xlfn.QUARTILE.INC(('METCM (Meteomatics)'!K9:K11,'METCM (Meteomatics)'!K18:K20,'METCM (Meteomatics)'!K27:K29,'METCM (Meteomatics)'!K36:K38,'METCM (Meteomatics)'!K45:K47,'METCM (Meteomatics)'!K54:K56,'METCM (Meteomatics)'!K63:K65,'METCM (Meteomatics)'!K72:K74,'METCM (Meteomatics)'!K81:K83,'METCM (Meteomatics)'!K90:K92,'METCM (Meteomatics)'!K99:K101,'METCM (Meteomatics)'!K108:K110,'METCM (Meteomatics)'!K117:K119,'METCM (Meteomatics)'!K126:K128),1)</f>
        <v>40.856942750000002</v>
      </c>
    </row>
    <row r="80" spans="1:10">
      <c r="A80" s="46"/>
      <c r="B80" s="235"/>
      <c r="C80" s="238"/>
      <c r="D80" s="241"/>
      <c r="E80" s="251"/>
      <c r="F80" s="241"/>
      <c r="G80" s="196"/>
      <c r="H80" s="67" t="s">
        <v>222</v>
      </c>
      <c r="I80" s="74">
        <f ca="1">_xlfn.QUARTILE.INC(('METCM (Meteomatics)'!J9:J11,'METCM (Meteomatics)'!J18:J20,'METCM (Meteomatics)'!J27:J29,'METCM (Meteomatics)'!J36:J38,'METCM (Meteomatics)'!J45:J47,'METCM (Meteomatics)'!J54:J56,'METCM (Meteomatics)'!J63:J65,'METCM (Meteomatics)'!J72:J74,'METCM (Meteomatics)'!J81:J83,'METCM (Meteomatics)'!J90:J92,'METCM (Meteomatics)'!J99:J101,'METCM (Meteomatics)'!J108:J110,'METCM (Meteomatics)'!J117:J119,'METCM (Meteomatics)'!J126:J128),3)</f>
        <v>350.67123149999998</v>
      </c>
      <c r="J80" s="91">
        <f ca="1">_xlfn.QUARTILE.INC(('METCM (Meteomatics)'!K9:K11,'METCM (Meteomatics)'!K18:K20,'METCM (Meteomatics)'!K27:K29,'METCM (Meteomatics)'!K36:K38,'METCM (Meteomatics)'!K45:K47,'METCM (Meteomatics)'!K54:K56,'METCM (Meteomatics)'!K63:K65,'METCM (Meteomatics)'!K72:K74,'METCM (Meteomatics)'!K81:K83,'METCM (Meteomatics)'!K90:K92,'METCM (Meteomatics)'!K99:K101,'METCM (Meteomatics)'!K108:K110,'METCM (Meteomatics)'!K117:K119,'METCM (Meteomatics)'!K126:K128),3)</f>
        <v>56.649649500000002</v>
      </c>
    </row>
    <row r="81" spans="1:10">
      <c r="A81" s="46"/>
      <c r="B81" s="235"/>
      <c r="C81" s="238"/>
      <c r="D81" s="241"/>
      <c r="E81" s="251"/>
      <c r="F81" s="241"/>
      <c r="G81" s="196"/>
      <c r="H81" s="67" t="s">
        <v>224</v>
      </c>
      <c r="I81" s="74">
        <f ca="1">I80-I79</f>
        <v>23.544883999999968</v>
      </c>
      <c r="J81" s="91">
        <f ca="1">J80-J79</f>
        <v>15.792706750000001</v>
      </c>
    </row>
    <row r="82" spans="1:10">
      <c r="A82" s="46"/>
      <c r="B82" s="235"/>
      <c r="C82" s="238"/>
      <c r="D82" s="241"/>
      <c r="E82" s="251"/>
      <c r="F82" s="241"/>
      <c r="G82" s="196"/>
      <c r="H82" s="67" t="s">
        <v>225</v>
      </c>
      <c r="I82" s="74">
        <f>I76-_xlfn.CONFIDENCE.T(0.05,I77,I75)</f>
        <v>321.03003296336703</v>
      </c>
      <c r="J82" s="91">
        <f>J76-_xlfn.CONFIDENCE.T(0.05,J77,J75)</f>
        <v>45.454129867380914</v>
      </c>
    </row>
    <row r="83" spans="1:10">
      <c r="A83" s="47"/>
      <c r="B83" s="236"/>
      <c r="C83" s="239"/>
      <c r="D83" s="242"/>
      <c r="E83" s="252"/>
      <c r="F83" s="242"/>
      <c r="G83" s="197"/>
      <c r="H83" s="68" t="s">
        <v>226</v>
      </c>
      <c r="I83" s="75">
        <f>I76+_xlfn.CONFIDENCE.T(0.05,I77,I75)</f>
        <v>418.2142592271091</v>
      </c>
      <c r="J83" s="92">
        <f>J76+_xlfn.CONFIDENCE.T(0.05,J77,J75)</f>
        <v>51.621210894523827</v>
      </c>
    </row>
    <row r="84" spans="1:10">
      <c r="A84" s="83"/>
      <c r="B84" s="235" t="s">
        <v>29</v>
      </c>
      <c r="C84" s="238" t="s">
        <v>11</v>
      </c>
      <c r="D84" s="247" t="s">
        <v>23</v>
      </c>
      <c r="E84" s="247" t="s">
        <v>40</v>
      </c>
      <c r="F84" s="241" t="s">
        <v>229</v>
      </c>
      <c r="G84" s="209">
        <v>15990</v>
      </c>
      <c r="H84" s="69" t="s">
        <v>217</v>
      </c>
      <c r="I84" s="191">
        <f>COUNT('METCM (from METGM)'!J3:J5,'METCM (from METGM)'!J12:J14,'METCM (from METGM)'!J21:J23,'METCM (from METGM)'!J30:J32,'METCM (from METGM)'!J39:J41,'METCM (from METGM)'!J48:J50)</f>
        <v>18</v>
      </c>
      <c r="J84" s="94">
        <f>COUNT('METCM (from METGM)'!K3:K5,'METCM (from METGM)'!K12:K14,'METCM (from METGM)'!K21:K23,'METCM (from METGM)'!K30:K32,'METCM (from METGM)'!K39:K41,'METCM (from METGM)'!K48:K50)</f>
        <v>18</v>
      </c>
    </row>
    <row r="85" spans="1:10">
      <c r="A85" s="62"/>
      <c r="B85" s="235"/>
      <c r="C85" s="238"/>
      <c r="D85" s="241"/>
      <c r="E85" s="247"/>
      <c r="F85" s="241"/>
      <c r="G85" s="196"/>
      <c r="H85" s="67" t="s">
        <v>218</v>
      </c>
      <c r="I85" s="98">
        <f>AVERAGE('METCM (from METGM)'!J3:J5,'METCM (from METGM)'!J12:J14,'METCM (from METGM)'!J21:J23,'METCM (from METGM)'!J30:J32,'METCM (from METGM)'!J39:J41,'METCM (from METGM)'!J48:J50)</f>
        <v>58.739609555555568</v>
      </c>
      <c r="J85" s="99">
        <f>AVERAGE('METCM (from METGM)'!K3:K5,'METCM (from METGM)'!K12:K14,'METCM (from METGM)'!K21:K23,'METCM (from METGM)'!K30:K32,'METCM (from METGM)'!K39:K41,'METCM (from METGM)'!K48:K50)</f>
        <v>21.360828055555558</v>
      </c>
    </row>
    <row r="86" spans="1:10">
      <c r="A86" s="62"/>
      <c r="B86" s="235"/>
      <c r="C86" s="238"/>
      <c r="D86" s="241"/>
      <c r="E86" s="247"/>
      <c r="F86" s="241"/>
      <c r="G86" s="196"/>
      <c r="H86" s="67" t="s">
        <v>219</v>
      </c>
      <c r="I86" s="98">
        <f>_xlfn.STDEV.S('METCM (from METGM)'!J3:J5,'METCM (from METGM)'!J12:J14,'METCM (from METGM)'!J21:J23,'METCM (from METGM)'!J30:J32,'METCM (from METGM)'!J39:J41,'METCM (from METGM)'!J48:J50)</f>
        <v>4.3713526386409232</v>
      </c>
      <c r="J86" s="99">
        <f>_xlfn.STDEV.S('METCM (from METGM)'!K3:K5,'METCM (from METGM)'!K12:K14,'METCM (from METGM)'!K21:K23,'METCM (from METGM)'!K30:K32,'METCM (from METGM)'!K39:K41,'METCM (from METGM)'!K48:K50)</f>
        <v>0.52502417065227991</v>
      </c>
    </row>
    <row r="87" spans="1:10">
      <c r="A87" s="62"/>
      <c r="B87" s="235"/>
      <c r="C87" s="238"/>
      <c r="D87" s="241"/>
      <c r="E87" s="247"/>
      <c r="F87" s="241"/>
      <c r="G87" s="196"/>
      <c r="H87" s="67" t="s">
        <v>220</v>
      </c>
      <c r="I87" s="72">
        <f>MEDIAN('METCM (from METGM)'!J3:J5,'METCM (from METGM)'!J12:J14,'METCM (from METGM)'!J21:J23,'METCM (from METGM)'!J30:J32,'METCM (from METGM)'!J39:J41,'METCM (from METGM)'!J48:J50)</f>
        <v>59.587566499999994</v>
      </c>
      <c r="J87" s="86">
        <f>MEDIAN('METCM (from METGM)'!K3:K5,'METCM (from METGM)'!K12:K14,'METCM (from METGM)'!K21:K23,'METCM (from METGM)'!K30:K32,'METCM (from METGM)'!K39:K41,'METCM (from METGM)'!K48:K50)</f>
        <v>21.2434905</v>
      </c>
    </row>
    <row r="88" spans="1:10">
      <c r="A88" s="62"/>
      <c r="B88" s="235"/>
      <c r="C88" s="238"/>
      <c r="D88" s="241"/>
      <c r="E88" s="247"/>
      <c r="F88" s="241"/>
      <c r="G88" s="196"/>
      <c r="H88" s="67" t="s">
        <v>221</v>
      </c>
      <c r="I88" s="84">
        <f ca="1">_xlfn.QUARTILE.INC(('METCM (from METGM)'!J3:J5,'METCM (from METGM)'!J12:J14,'METCM (from METGM)'!J21:J23,'METCM (from METGM)'!J30:J32,'METCM (from METGM)'!J39:J41,'METCM (from METGM)'!J48:J50),1)</f>
        <v>58.333551999999997</v>
      </c>
      <c r="J88" s="87">
        <f ca="1">_xlfn.QUARTILE.INC(('METCM (from METGM)'!K3:K5,'METCM (from METGM)'!K12:K14,'METCM (from METGM)'!K21:K23,'METCM (from METGM)'!K30:K32,'METCM (from METGM)'!K39:K41,'METCM (from METGM)'!K48:K50),1)</f>
        <v>20.91162525</v>
      </c>
    </row>
    <row r="89" spans="1:10">
      <c r="A89" s="62"/>
      <c r="B89" s="235"/>
      <c r="C89" s="238"/>
      <c r="D89" s="241"/>
      <c r="E89" s="247"/>
      <c r="F89" s="241"/>
      <c r="G89" s="196"/>
      <c r="H89" s="67" t="s">
        <v>222</v>
      </c>
      <c r="I89" s="84">
        <f ca="1">_xlfn.QUARTILE.INC(('METCM (from METGM)'!J3:J5,'METCM (from METGM)'!J12:J14,'METCM (from METGM)'!J21:J23,'METCM (from METGM)'!J30:J32,'METCM (from METGM)'!J39:J41,'METCM (from METGM)'!J48:J50),3)</f>
        <v>61.413757500000003</v>
      </c>
      <c r="J89" s="87">
        <f ca="1">_xlfn.QUARTILE.INC(('METCM (from METGM)'!K3:K5,'METCM (from METGM)'!K12:K14,'METCM (from METGM)'!K21:K23,'METCM (from METGM)'!K30:K32,'METCM (from METGM)'!K39:K41,'METCM (from METGM)'!K48:K50),3)</f>
        <v>21.915696499999999</v>
      </c>
    </row>
    <row r="90" spans="1:10" ht="15" customHeight="1">
      <c r="A90" s="62"/>
      <c r="B90" s="235"/>
      <c r="C90" s="238"/>
      <c r="D90" s="241"/>
      <c r="E90" s="247"/>
      <c r="F90" s="241"/>
      <c r="G90" s="196">
        <v>3000</v>
      </c>
      <c r="H90" s="67" t="s">
        <v>224</v>
      </c>
      <c r="I90" s="72">
        <f ca="1">I89-I88</f>
        <v>3.0802055000000053</v>
      </c>
      <c r="J90" s="86">
        <f ca="1">J89-J88</f>
        <v>1.0040712499999991</v>
      </c>
    </row>
    <row r="91" spans="1:10">
      <c r="A91" s="62"/>
      <c r="B91" s="235"/>
      <c r="C91" s="238"/>
      <c r="D91" s="241"/>
      <c r="E91" s="247"/>
      <c r="F91" s="241"/>
      <c r="G91" s="196"/>
      <c r="H91" s="67" t="s">
        <v>225</v>
      </c>
      <c r="I91" s="72">
        <f>I85-_xlfn.CONFIDENCE.T(0.05,I86,I84)</f>
        <v>56.565787030068606</v>
      </c>
      <c r="J91" s="86">
        <f>J85-_xlfn.CONFIDENCE.T(0.05,J86,J84)</f>
        <v>21.099739677898643</v>
      </c>
    </row>
    <row r="92" spans="1:10">
      <c r="A92" s="62"/>
      <c r="B92" s="235"/>
      <c r="C92" s="238"/>
      <c r="D92" s="241"/>
      <c r="E92" s="210"/>
      <c r="F92" s="241"/>
      <c r="G92" s="196"/>
      <c r="H92" s="67" t="s">
        <v>226</v>
      </c>
      <c r="I92" s="72">
        <f>I85+_xlfn.CONFIDENCE.T(0.05,I86,I84)</f>
        <v>60.913432081042529</v>
      </c>
      <c r="J92" s="86">
        <f>J85+_xlfn.CONFIDENCE.T(0.05,J86,J84)</f>
        <v>21.621916433212473</v>
      </c>
    </row>
    <row r="93" spans="1:10">
      <c r="A93" s="63"/>
      <c r="B93" s="235"/>
      <c r="C93" s="238"/>
      <c r="D93" s="241"/>
      <c r="E93" s="248" t="s">
        <v>42</v>
      </c>
      <c r="F93" s="241"/>
      <c r="G93" s="196"/>
      <c r="H93" s="67" t="s">
        <v>217</v>
      </c>
      <c r="I93" s="25">
        <f>COUNT('METCM (from METGM)'!J6:J8,'METCM (from METGM)'!J15:J17,'METCM (from METGM)'!J24:J26,'METCM (from METGM)'!J33:J35,'METCM (from METGM)'!J42:J44,'METCM (from METGM)'!J51:J53)</f>
        <v>18</v>
      </c>
      <c r="J93" s="88">
        <f>COUNT('METCM (from METGM)'!K6:K8,'METCM (from METGM)'!K15:K17,'METCM (from METGM)'!K24:K26,'METCM (from METGM)'!K33:K35,'METCM (from METGM)'!K42:K44,'METCM (from METGM)'!K51:K53)</f>
        <v>18</v>
      </c>
    </row>
    <row r="94" spans="1:10">
      <c r="A94" s="63"/>
      <c r="B94" s="235"/>
      <c r="C94" s="238"/>
      <c r="D94" s="241"/>
      <c r="E94" s="249"/>
      <c r="F94" s="241"/>
      <c r="G94" s="196"/>
      <c r="H94" s="67" t="s">
        <v>218</v>
      </c>
      <c r="I94" s="100">
        <f>AVERAGE('METCM (from METGM)'!J6:J8,'METCM (from METGM)'!J15:J17,'METCM (from METGM)'!J24:J26,'METCM (from METGM)'!J33:J35,'METCM (from METGM)'!J42:J44,'METCM (from METGM)'!J51:J53)</f>
        <v>171.18485055555558</v>
      </c>
      <c r="J94" s="101">
        <f>AVERAGE('METCM (from METGM)'!K6:K8,'METCM (from METGM)'!K15:K17,'METCM (from METGM)'!K24:K26,'METCM (from METGM)'!K33:K35,'METCM (from METGM)'!K42:K44,'METCM (from METGM)'!K51:K53)</f>
        <v>34.313075888888896</v>
      </c>
    </row>
    <row r="95" spans="1:10">
      <c r="A95" s="63"/>
      <c r="B95" s="235"/>
      <c r="C95" s="238"/>
      <c r="D95" s="241"/>
      <c r="E95" s="249"/>
      <c r="F95" s="241"/>
      <c r="G95" s="196"/>
      <c r="H95" s="67" t="s">
        <v>219</v>
      </c>
      <c r="I95" s="100">
        <f>_xlfn.STDEV.S('METCM (from METGM)'!J6:J8,'METCM (from METGM)'!J15:J17,'METCM (from METGM)'!J24:J26,'METCM (from METGM)'!J33:J35,'METCM (from METGM)'!J42:J44,'METCM (from METGM)'!J51:J53)</f>
        <v>36.710165298799438</v>
      </c>
      <c r="J95" s="101">
        <f>_xlfn.STDEV.S('METCM (from METGM)'!K6:K8,'METCM (from METGM)'!K15:K17,'METCM (from METGM)'!K24:K26,'METCM (from METGM)'!K33:K35,'METCM (from METGM)'!K42:K44,'METCM (from METGM)'!K51:K53)</f>
        <v>4.2233207389408163</v>
      </c>
    </row>
    <row r="96" spans="1:10">
      <c r="A96" s="63"/>
      <c r="B96" s="235"/>
      <c r="C96" s="238"/>
      <c r="D96" s="241"/>
      <c r="E96" s="249"/>
      <c r="F96" s="241"/>
      <c r="G96" s="196"/>
      <c r="H96" s="67" t="s">
        <v>220</v>
      </c>
      <c r="I96" s="73">
        <f>MEDIAN('METCM (from METGM)'!J6:J8,'METCM (from METGM)'!J15:J17,'METCM (from METGM)'!J24:J26,'METCM (from METGM)'!J33:J35,'METCM (from METGM)'!J42:J44,'METCM (from METGM)'!J51:J53)</f>
        <v>181.8338895</v>
      </c>
      <c r="J96" s="89">
        <f>MEDIAN('METCM (from METGM)'!K6:K8,'METCM (from METGM)'!K15:K17,'METCM (from METGM)'!K24:K26,'METCM (from METGM)'!K33:K35,'METCM (from METGM)'!K42:K44,'METCM (from METGM)'!K51:K53)</f>
        <v>34.580889999999997</v>
      </c>
    </row>
    <row r="97" spans="1:10">
      <c r="A97" s="63"/>
      <c r="B97" s="235"/>
      <c r="C97" s="238"/>
      <c r="D97" s="241"/>
      <c r="E97" s="249"/>
      <c r="F97" s="241"/>
      <c r="G97" s="196"/>
      <c r="H97" s="67" t="s">
        <v>221</v>
      </c>
      <c r="I97" s="73">
        <f ca="1">_xlfn.QUARTILE.INC(('METCM (from METGM)'!J6:J8,'METCM (from METGM)'!J15:J17,'METCM (from METGM)'!J24:J26,'METCM (from METGM)'!J33:J35,'METCM (from METGM)'!J42:J44,'METCM (from METGM)'!J51:J53),1)</f>
        <v>178.7970765</v>
      </c>
      <c r="J97" s="89">
        <f ca="1">_xlfn.QUARTILE.INC(('METCM (from METGM)'!K6:K8,'METCM (from METGM)'!K15:K17,'METCM (from METGM)'!K24:K26,'METCM (from METGM)'!K33:K35,'METCM (from METGM)'!K42:K44,'METCM (from METGM)'!K51:K53),1)</f>
        <v>30.961312750000001</v>
      </c>
    </row>
    <row r="98" spans="1:10">
      <c r="A98" s="63"/>
      <c r="B98" s="235"/>
      <c r="C98" s="238"/>
      <c r="D98" s="241"/>
      <c r="E98" s="249"/>
      <c r="F98" s="241"/>
      <c r="G98" s="196"/>
      <c r="H98" s="67" t="s">
        <v>222</v>
      </c>
      <c r="I98" s="73">
        <f ca="1">_xlfn.QUARTILE.INC(('METCM (from METGM)'!J6:J8,'METCM (from METGM)'!J15:J17,'METCM (from METGM)'!J24:J26,'METCM (from METGM)'!J33:J35,'METCM (from METGM)'!J42:J44,'METCM (from METGM)'!J51:J53),3)</f>
        <v>185.34520449999999</v>
      </c>
      <c r="J98" s="89">
        <f ca="1">_xlfn.QUARTILE.INC(('METCM (from METGM)'!K6:K8,'METCM (from METGM)'!K15:K17,'METCM (from METGM)'!K24:K26,'METCM (from METGM)'!K33:K35,'METCM (from METGM)'!K42:K44,'METCM (from METGM)'!K51:K53),3)</f>
        <v>38.519875749999997</v>
      </c>
    </row>
    <row r="99" spans="1:10">
      <c r="A99" s="63"/>
      <c r="B99" s="235"/>
      <c r="C99" s="238"/>
      <c r="D99" s="241"/>
      <c r="E99" s="249"/>
      <c r="F99" s="241"/>
      <c r="G99" s="196"/>
      <c r="H99" s="67" t="s">
        <v>224</v>
      </c>
      <c r="I99" s="73">
        <f ca="1">I98-I97</f>
        <v>6.5481279999999913</v>
      </c>
      <c r="J99" s="89">
        <f ca="1">J98-J97</f>
        <v>7.5585629999999959</v>
      </c>
    </row>
    <row r="100" spans="1:10">
      <c r="A100" s="63"/>
      <c r="B100" s="235"/>
      <c r="C100" s="238"/>
      <c r="D100" s="241"/>
      <c r="E100" s="249"/>
      <c r="F100" s="241"/>
      <c r="G100" s="196"/>
      <c r="H100" s="67" t="s">
        <v>225</v>
      </c>
      <c r="I100" s="73">
        <f>I94-_xlfn.CONFIDENCE.T(0.05,I95,I93)</f>
        <v>152.92931483522284</v>
      </c>
      <c r="J100" s="89">
        <f>J94-_xlfn.CONFIDENCE.T(0.05,J95,J93)</f>
        <v>32.212867895255116</v>
      </c>
    </row>
    <row r="101" spans="1:10">
      <c r="A101" s="63"/>
      <c r="B101" s="235"/>
      <c r="C101" s="238"/>
      <c r="D101" s="241"/>
      <c r="E101" s="250"/>
      <c r="F101" s="241"/>
      <c r="G101" s="196"/>
      <c r="H101" s="67" t="s">
        <v>226</v>
      </c>
      <c r="I101" s="73">
        <f>I94+_xlfn.CONFIDENCE.T(0.05,I95,I93)</f>
        <v>189.44038627588833</v>
      </c>
      <c r="J101" s="89">
        <f>J94+_xlfn.CONFIDENCE.T(0.05,J95,J93)</f>
        <v>36.413283882522677</v>
      </c>
    </row>
    <row r="102" spans="1:10">
      <c r="A102" s="46"/>
      <c r="B102" s="235"/>
      <c r="C102" s="238"/>
      <c r="D102" s="241"/>
      <c r="E102" s="208" t="s">
        <v>47</v>
      </c>
      <c r="F102" s="241"/>
      <c r="G102" s="196"/>
      <c r="H102" s="67" t="s">
        <v>217</v>
      </c>
      <c r="I102" s="24">
        <f>COUNT('METCM (from METGM)'!J9:J11,'METCM (from METGM)'!J18:J20,'METCM (from METGM)'!J27:J29,'METCM (from METGM)'!J36:J38,'METCM (from METGM)'!J45:J47,'METCM (from METGM)'!J54:J56)</f>
        <v>18</v>
      </c>
      <c r="J102" s="90">
        <f>COUNT('METCM (from METGM)'!K9:K11,'METCM (from METGM)'!K18:K20,'METCM (from METGM)'!K27:K29,'METCM (from METGM)'!K36:K38,'METCM (from METGM)'!K45:K47,'METCM (from METGM)'!K54:K56)</f>
        <v>18</v>
      </c>
    </row>
    <row r="103" spans="1:10">
      <c r="A103" s="46"/>
      <c r="B103" s="235"/>
      <c r="C103" s="238"/>
      <c r="D103" s="241"/>
      <c r="E103" s="251"/>
      <c r="F103" s="241"/>
      <c r="G103" s="196"/>
      <c r="H103" s="67" t="s">
        <v>218</v>
      </c>
      <c r="I103" s="102">
        <f>AVERAGE('METCM (from METGM)'!J9:J11,'METCM (from METGM)'!J18:J20,'METCM (from METGM)'!J27:J29,'METCM (from METGM)'!J36:J38,'METCM (from METGM)'!J45:J47,'METCM (from METGM)'!J54:J56)</f>
        <v>320.98973177777776</v>
      </c>
      <c r="J103" s="103">
        <f>AVERAGE('METCM (from METGM)'!K9:K11,'METCM (from METGM)'!K18:K20,'METCM (from METGM)'!K27:K29,'METCM (from METGM)'!K36:K38,'METCM (from METGM)'!K45:K47,'METCM (from METGM)'!K54:K56)</f>
        <v>60.057222222222222</v>
      </c>
    </row>
    <row r="104" spans="1:10">
      <c r="A104" s="46"/>
      <c r="B104" s="235"/>
      <c r="C104" s="238"/>
      <c r="D104" s="241"/>
      <c r="E104" s="251"/>
      <c r="F104" s="241"/>
      <c r="G104" s="196"/>
      <c r="H104" s="67" t="s">
        <v>219</v>
      </c>
      <c r="I104" s="102">
        <f>_xlfn.STDEV.S('METCM (from METGM)'!J9:J11,'METCM (from METGM)'!J18:J20,'METCM (from METGM)'!J27:J29,'METCM (from METGM)'!J36:J38,'METCM (from METGM)'!J45:J47,'METCM (from METGM)'!J54:J56)</f>
        <v>74.606688977431517</v>
      </c>
      <c r="J104" s="103">
        <f>_xlfn.STDEV.S('METCM (from METGM)'!K9:K11,'METCM (from METGM)'!K18:K20,'METCM (from METGM)'!K27:K29,'METCM (from METGM)'!K36:K38,'METCM (from METGM)'!K45:K47,'METCM (from METGM)'!K54:K56)</f>
        <v>23.260107303674385</v>
      </c>
    </row>
    <row r="105" spans="1:10">
      <c r="A105" s="46"/>
      <c r="B105" s="235"/>
      <c r="C105" s="238"/>
      <c r="D105" s="241"/>
      <c r="E105" s="251"/>
      <c r="F105" s="241"/>
      <c r="G105" s="196"/>
      <c r="H105" s="67" t="s">
        <v>220</v>
      </c>
      <c r="I105" s="24">
        <f>MEDIAN('METCM (from METGM)'!J9:J11,'METCM (from METGM)'!J18:J20,'METCM (from METGM)'!J27:J29,'METCM (from METGM)'!J36:J38,'METCM (from METGM)'!J45:J47,'METCM (from METGM)'!J54:J56)</f>
        <v>342.92674599999998</v>
      </c>
      <c r="J105" s="91">
        <f>MEDIAN('METCM (from METGM)'!K9:K11,'METCM (from METGM)'!K18:K20,'METCM (from METGM)'!K27:K29,'METCM (from METGM)'!K36:K38,'METCM (from METGM)'!K45:K47,'METCM (from METGM)'!K54:K56)</f>
        <v>53.537125500000002</v>
      </c>
    </row>
    <row r="106" spans="1:10">
      <c r="A106" s="46"/>
      <c r="B106" s="235"/>
      <c r="C106" s="238"/>
      <c r="D106" s="241"/>
      <c r="E106" s="251"/>
      <c r="F106" s="241"/>
      <c r="G106" s="196"/>
      <c r="H106" s="67" t="s">
        <v>221</v>
      </c>
      <c r="I106" s="74">
        <f ca="1">_xlfn.QUARTILE.INC(('METCM (from METGM)'!J9:J11,'METCM (from METGM)'!J18:J20,'METCM (from METGM)'!J27:J29,'METCM (from METGM)'!J36:J38,'METCM (from METGM)'!J45:J47,'METCM (from METGM)'!J54:J56),1)</f>
        <v>333.14256699999999</v>
      </c>
      <c r="J106" s="91">
        <f ca="1">_xlfn.QUARTILE.INC(('METCM (from METGM)'!K9:K11,'METCM (from METGM)'!K18:K20,'METCM (from METGM)'!K27:K29,'METCM (from METGM)'!K36:K38,'METCM (from METGM)'!K45:K47,'METCM (from METGM)'!K54:K56),1)</f>
        <v>43.517020500000001</v>
      </c>
    </row>
    <row r="107" spans="1:10">
      <c r="A107" s="46"/>
      <c r="B107" s="235"/>
      <c r="C107" s="238"/>
      <c r="D107" s="241"/>
      <c r="E107" s="251"/>
      <c r="F107" s="241"/>
      <c r="G107" s="196"/>
      <c r="H107" s="67" t="s">
        <v>222</v>
      </c>
      <c r="I107" s="74">
        <f ca="1">_xlfn.QUARTILE.INC(('METCM (from METGM)'!J9:J11,'METCM (from METGM)'!J18:J20,'METCM (from METGM)'!J27:J29,'METCM (from METGM)'!J36:J38,'METCM (from METGM)'!J45:J47,'METCM (from METGM)'!J54:J56),3)</f>
        <v>352.04875225000001</v>
      </c>
      <c r="J107" s="91">
        <f ca="1">_xlfn.QUARTILE.INC(('METCM (from METGM)'!K9:K11,'METCM (from METGM)'!K18:K20,'METCM (from METGM)'!K27:K29,'METCM (from METGM)'!K36:K38,'METCM (from METGM)'!K45:K47,'METCM (from METGM)'!K54:K56),3)</f>
        <v>66.142922749999997</v>
      </c>
    </row>
    <row r="108" spans="1:10">
      <c r="A108" s="46"/>
      <c r="B108" s="235"/>
      <c r="C108" s="238"/>
      <c r="D108" s="241"/>
      <c r="E108" s="251"/>
      <c r="F108" s="241"/>
      <c r="G108" s="196"/>
      <c r="H108" s="67" t="s">
        <v>224</v>
      </c>
      <c r="I108" s="74">
        <f ca="1">I107-I106</f>
        <v>18.906185250000021</v>
      </c>
      <c r="J108" s="91">
        <f ca="1">J107-J106</f>
        <v>22.625902249999996</v>
      </c>
    </row>
    <row r="109" spans="1:10">
      <c r="A109" s="46"/>
      <c r="B109" s="235"/>
      <c r="C109" s="238"/>
      <c r="D109" s="241"/>
      <c r="E109" s="251"/>
      <c r="F109" s="241"/>
      <c r="G109" s="196"/>
      <c r="H109" s="67" t="s">
        <v>225</v>
      </c>
      <c r="I109" s="74">
        <f>I103-_xlfn.CONFIDENCE.T(0.05,I104,I102)</f>
        <v>283.88869819436871</v>
      </c>
      <c r="J109" s="91">
        <f>J103-_xlfn.CONFIDENCE.T(0.05,J104,J102)</f>
        <v>48.490242986776316</v>
      </c>
    </row>
    <row r="110" spans="1:10">
      <c r="A110" s="47"/>
      <c r="B110" s="236"/>
      <c r="C110" s="239"/>
      <c r="D110" s="242"/>
      <c r="E110" s="252"/>
      <c r="F110" s="242"/>
      <c r="G110" s="197"/>
      <c r="H110" s="68" t="s">
        <v>226</v>
      </c>
      <c r="I110" s="75">
        <f>I103+_xlfn.CONFIDENCE.T(0.05,I104,I102)</f>
        <v>358.09076536118681</v>
      </c>
      <c r="J110" s="92">
        <f>J103+_xlfn.CONFIDENCE.T(0.05,J104,J102)</f>
        <v>71.624201457668136</v>
      </c>
    </row>
    <row r="111" spans="1:10">
      <c r="A111" s="83"/>
      <c r="B111" s="235" t="s">
        <v>29</v>
      </c>
      <c r="C111" s="238" t="s">
        <v>11</v>
      </c>
      <c r="D111" s="247" t="s">
        <v>26</v>
      </c>
      <c r="E111" s="247" t="s">
        <v>40</v>
      </c>
      <c r="F111" s="241" t="s">
        <v>229</v>
      </c>
      <c r="G111" s="209">
        <v>15990</v>
      </c>
      <c r="H111" s="69" t="s">
        <v>217</v>
      </c>
      <c r="I111" s="191">
        <f>COUNT('METCM (from METGC)'!J3:J5,'METCM (from METGC)'!J12:J14,'METCM (from METGC)'!J21:J23,'METCM (from METGC)'!J30:J32,'METCM (from METGC)'!J39:J41,'METCM (from METGC)'!J48:J50)</f>
        <v>18</v>
      </c>
      <c r="J111" s="94">
        <f>COUNT('METCM (from METGC)'!K3:K5,'METCM (from METGC)'!K12:K14,'METCM (from METGC)'!K21:K23,'METCM (from METGC)'!K30:K32,'METCM (from METGC)'!K39:K41,'METCM (from METGC)'!K48:K50)</f>
        <v>18</v>
      </c>
    </row>
    <row r="112" spans="1:10">
      <c r="A112" s="83"/>
      <c r="B112" s="235"/>
      <c r="C112" s="238"/>
      <c r="D112" s="247"/>
      <c r="E112" s="247"/>
      <c r="F112" s="241"/>
      <c r="G112" s="209"/>
      <c r="H112" s="67" t="s">
        <v>218</v>
      </c>
      <c r="I112" s="98">
        <f>AVERAGE('METCM (from METGC)'!J3:J5,'METCM (from METGC)'!J12:J14,'METCM (from METGC)'!J21:J23,'METCM (from METGC)'!J30:J32,'METCM (from METGC)'!J39:J41,'METCM (from METGC)'!J48:J50)</f>
        <v>81.686506166666675</v>
      </c>
      <c r="J112" s="99">
        <f>AVERAGE('METCM (from METGC)'!K3:K5,'METCM (from METGC)'!K12:K14,'METCM (from METGC)'!K21:K23,'METCM (from METGC)'!K30:K32,'METCM (from METGC)'!K39:K41,'METCM (from METGC)'!K48:K50)</f>
        <v>21.551125444444445</v>
      </c>
    </row>
    <row r="113" spans="1:10">
      <c r="A113" s="83"/>
      <c r="B113" s="235"/>
      <c r="C113" s="238"/>
      <c r="D113" s="247"/>
      <c r="E113" s="247"/>
      <c r="F113" s="241"/>
      <c r="G113" s="209"/>
      <c r="H113" s="67" t="s">
        <v>219</v>
      </c>
      <c r="I113" s="98">
        <f>_xlfn.STDEV.S('METCM (from METGC)'!J3:J5,'METCM (from METGC)'!J12:J14,'METCM (from METGC)'!J21:J23,'METCM (from METGC)'!J30:J32,'METCM (from METGC)'!J39:J41,'METCM (from METGC)'!J48:J50)</f>
        <v>49.802862197649404</v>
      </c>
      <c r="J113" s="99">
        <f>_xlfn.STDEV.S('METCM (from METGC)'!K3:K5,'METCM (from METGC)'!K12:K14,'METCM (from METGC)'!K21:K23,'METCM (from METGC)'!K30:K32,'METCM (from METGC)'!K39:K41,'METCM (from METGC)'!K48:K50)</f>
        <v>0.46429159779657542</v>
      </c>
    </row>
    <row r="114" spans="1:10">
      <c r="A114" s="83"/>
      <c r="B114" s="235"/>
      <c r="C114" s="238"/>
      <c r="D114" s="247"/>
      <c r="E114" s="247"/>
      <c r="F114" s="241"/>
      <c r="G114" s="209"/>
      <c r="H114" s="67" t="s">
        <v>220</v>
      </c>
      <c r="I114" s="72">
        <f>MEDIAN('METCM (from METGC)'!J3:J5,'METCM (from METGC)'!J12:J14,'METCM (from METGC)'!J21:J23,'METCM (from METGC)'!J30:J32,'METCM (from METGC)'!J39:J41,'METCM (from METGC)'!J48:J50)</f>
        <v>60.954549499999999</v>
      </c>
      <c r="J114" s="86">
        <f>MEDIAN('METCM (from METGC)'!K3:K5,'METCM (from METGC)'!K12:K14,'METCM (from METGC)'!K21:K23,'METCM (from METGC)'!K30:K32,'METCM (from METGC)'!K39:K41,'METCM (from METGC)'!K48:K50)</f>
        <v>21.682108499999998</v>
      </c>
    </row>
    <row r="115" spans="1:10">
      <c r="A115" s="62"/>
      <c r="B115" s="235"/>
      <c r="C115" s="238"/>
      <c r="D115" s="241"/>
      <c r="E115" s="247"/>
      <c r="F115" s="241"/>
      <c r="G115" s="196"/>
      <c r="H115" s="67" t="s">
        <v>221</v>
      </c>
      <c r="I115" s="84">
        <f ca="1">_xlfn.QUARTILE.INC(('METCM (from METGC)'!J3:J5,'METCM (from METGC)'!J12:J14,'METCM (from METGC)'!J21:J23,'METCM (from METGC)'!J30:J32,'METCM (from METGC)'!J39:J41,'METCM (from METGC)'!J48:J50),1)</f>
        <v>58.701526250000001</v>
      </c>
      <c r="J115" s="87">
        <f ca="1">_xlfn.QUARTILE.INC(('METCM (from METGC)'!K3:K5,'METCM (from METGC)'!K12:K14,'METCM (from METGC)'!K21:K23,'METCM (from METGC)'!K30:K32,'METCM (from METGC)'!K39:K41,'METCM (from METGC)'!K48:K50),1)</f>
        <v>21.03252475</v>
      </c>
    </row>
    <row r="116" spans="1:10">
      <c r="A116" s="62"/>
      <c r="B116" s="235"/>
      <c r="C116" s="238"/>
      <c r="D116" s="241"/>
      <c r="E116" s="247"/>
      <c r="F116" s="241"/>
      <c r="G116" s="196"/>
      <c r="H116" s="67" t="s">
        <v>222</v>
      </c>
      <c r="I116" s="84">
        <f ca="1">_xlfn.QUARTILE.INC(('METCM (from METGC)'!J3:J5,'METCM (from METGC)'!J12:J14,'METCM (from METGC)'!J21:J23,'METCM (from METGC)'!J30:J32,'METCM (from METGC)'!J39:J41,'METCM (from METGC)'!J48:J50),3)</f>
        <v>62.413194250000004</v>
      </c>
      <c r="J116" s="87">
        <f ca="1">_xlfn.QUARTILE.INC(('METCM (from METGC)'!K3:K5,'METCM (from METGC)'!K12:K14,'METCM (from METGC)'!K21:K23,'METCM (from METGC)'!K30:K32,'METCM (from METGC)'!K39:K41,'METCM (from METGC)'!K48:K50),3)</f>
        <v>21.915696499999999</v>
      </c>
    </row>
    <row r="117" spans="1:10" ht="15" customHeight="1">
      <c r="A117" s="62"/>
      <c r="B117" s="235"/>
      <c r="C117" s="238"/>
      <c r="D117" s="241"/>
      <c r="E117" s="247"/>
      <c r="F117" s="241"/>
      <c r="G117" s="196">
        <v>3000</v>
      </c>
      <c r="H117" s="67" t="s">
        <v>224</v>
      </c>
      <c r="I117" s="72">
        <f ca="1">I116-I115</f>
        <v>3.7116680000000031</v>
      </c>
      <c r="J117" s="86">
        <f ca="1">J116-J115</f>
        <v>0.88317174999999892</v>
      </c>
    </row>
    <row r="118" spans="1:10">
      <c r="A118" s="62"/>
      <c r="B118" s="235"/>
      <c r="C118" s="238"/>
      <c r="D118" s="241"/>
      <c r="E118" s="247"/>
      <c r="F118" s="241"/>
      <c r="G118" s="196"/>
      <c r="H118" s="67" t="s">
        <v>225</v>
      </c>
      <c r="I118" s="72">
        <f>I112-_xlfn.CONFIDENCE.T(0.05,I113,I111)</f>
        <v>56.920125453754679</v>
      </c>
      <c r="J118" s="86">
        <f>J112-_xlfn.CONFIDENCE.T(0.05,J113,J111)</f>
        <v>21.32023866474087</v>
      </c>
    </row>
    <row r="119" spans="1:10">
      <c r="A119" s="62"/>
      <c r="B119" s="235"/>
      <c r="C119" s="238"/>
      <c r="D119" s="241"/>
      <c r="E119" s="210"/>
      <c r="F119" s="241"/>
      <c r="G119" s="196"/>
      <c r="H119" s="67" t="s">
        <v>226</v>
      </c>
      <c r="I119" s="72">
        <f>I112+_xlfn.CONFIDENCE.T(0.05,I113,I111)</f>
        <v>106.45288687957867</v>
      </c>
      <c r="J119" s="86">
        <f>J112+_xlfn.CONFIDENCE.T(0.05,J113,J111)</f>
        <v>21.782012224148019</v>
      </c>
    </row>
    <row r="120" spans="1:10">
      <c r="A120" s="63"/>
      <c r="B120" s="235"/>
      <c r="C120" s="238"/>
      <c r="D120" s="241"/>
      <c r="E120" s="248" t="s">
        <v>42</v>
      </c>
      <c r="F120" s="241"/>
      <c r="G120" s="196"/>
      <c r="H120" s="67" t="s">
        <v>217</v>
      </c>
      <c r="I120" s="25">
        <f>COUNT('METCM (from METGC)'!J6:J8,'METCM (from METGC)'!J15:J17,'METCM (from METGC)'!J24:J26,'METCM (from METGC)'!J33:J35,'METCM (from METGC)'!J42:J44,'METCM (from METGC)'!J51:J53)</f>
        <v>18</v>
      </c>
      <c r="J120" s="88">
        <f>COUNT('METCM (from METGC)'!K6:K8,'METCM (from METGC)'!K15:K17,'METCM (from METGC)'!K24:K26,'METCM (from METGC)'!K33:K35,'METCM (from METGC)'!K42:K44,'METCM (from METGC)'!K51:K53)</f>
        <v>18</v>
      </c>
    </row>
    <row r="121" spans="1:10">
      <c r="A121" s="63"/>
      <c r="B121" s="235"/>
      <c r="C121" s="238"/>
      <c r="D121" s="241"/>
      <c r="E121" s="249"/>
      <c r="F121" s="241"/>
      <c r="G121" s="196"/>
      <c r="H121" s="67" t="s">
        <v>218</v>
      </c>
      <c r="I121" s="100">
        <f>AVERAGE('METCM (from METGC)'!J6:J8,'METCM (from METGC)'!J15:J17,'METCM (from METGC)'!J24:J26,'METCM (from METGC)'!J33:J35,'METCM (from METGC)'!J42:J44,'METCM (from METGC)'!J51:J53)</f>
        <v>307.28083288888882</v>
      </c>
      <c r="J121" s="101">
        <f>AVERAGE('METCM (from METGC)'!K6:K8,'METCM (from METGC)'!K15:K17,'METCM (from METGC)'!K24:K26,'METCM (from METGC)'!K33:K35,'METCM (from METGC)'!K42:K44,'METCM (from METGC)'!K51:K53)</f>
        <v>38.197601333333338</v>
      </c>
    </row>
    <row r="122" spans="1:10">
      <c r="A122" s="63"/>
      <c r="B122" s="235"/>
      <c r="C122" s="238"/>
      <c r="D122" s="241"/>
      <c r="E122" s="249"/>
      <c r="F122" s="241"/>
      <c r="G122" s="196"/>
      <c r="H122" s="67" t="s">
        <v>219</v>
      </c>
      <c r="I122" s="100">
        <f>_xlfn.STDEV.S('METCM (from METGC)'!J6:J8,'METCM (from METGC)'!J15:J17,'METCM (from METGC)'!J24:J26,'METCM (from METGC)'!J33:J35,'METCM (from METGC)'!J42:J44,'METCM (from METGC)'!J51:J53)</f>
        <v>289.27352820670734</v>
      </c>
      <c r="J122" s="101">
        <f>_xlfn.STDEV.S('METCM (from METGC)'!K6:K8,'METCM (from METGC)'!K15:K17,'METCM (from METGC)'!K24:K26,'METCM (from METGC)'!K33:K35,'METCM (from METGC)'!K42:K44,'METCM (from METGC)'!K51:K53)</f>
        <v>7.5383550712009955</v>
      </c>
    </row>
    <row r="123" spans="1:10">
      <c r="A123" s="63"/>
      <c r="B123" s="235"/>
      <c r="C123" s="238"/>
      <c r="D123" s="241"/>
      <c r="E123" s="249"/>
      <c r="F123" s="241"/>
      <c r="G123" s="196"/>
      <c r="H123" s="67" t="s">
        <v>220</v>
      </c>
      <c r="I123" s="73">
        <f>MEDIAN('METCM (from METGC)'!J6:J8,'METCM (from METGC)'!J15:J17,'METCM (from METGC)'!J24:J26,'METCM (from METGC)'!J33:J35,'METCM (from METGC)'!J42:J44,'METCM (from METGC)'!J51:J53)</f>
        <v>181.96030450000001</v>
      </c>
      <c r="J123" s="89">
        <f>MEDIAN('METCM (from METGC)'!K6:K8,'METCM (from METGC)'!K15:K17,'METCM (from METGC)'!K24:K26,'METCM (from METGC)'!K33:K35,'METCM (from METGC)'!K42:K44,'METCM (from METGC)'!K51:K53)</f>
        <v>37.373449999999998</v>
      </c>
    </row>
    <row r="124" spans="1:10">
      <c r="A124" s="63"/>
      <c r="B124" s="235"/>
      <c r="C124" s="238"/>
      <c r="D124" s="241"/>
      <c r="E124" s="249"/>
      <c r="F124" s="241"/>
      <c r="G124" s="196"/>
      <c r="H124" s="67" t="s">
        <v>221</v>
      </c>
      <c r="I124" s="73">
        <f ca="1">_xlfn.QUARTILE.INC(('METCM (from METGC)'!J6:J8,'METCM (from METGC)'!J15:J17,'METCM (from METGC)'!J24:J26,'METCM (from METGC)'!J33:J35,'METCM (from METGC)'!J42:J44,'METCM (from METGC)'!J51:J53),1)</f>
        <v>178.7970765</v>
      </c>
      <c r="J124" s="89">
        <f ca="1">_xlfn.QUARTILE.INC(('METCM (from METGC)'!K6:K8,'METCM (from METGC)'!K15:K17,'METCM (from METGC)'!K24:K26,'METCM (from METGC)'!K33:K35,'METCM (from METGC)'!K42:K44,'METCM (from METGC)'!K51:K53),1)</f>
        <v>33.155794999999998</v>
      </c>
    </row>
    <row r="125" spans="1:10">
      <c r="A125" s="63"/>
      <c r="B125" s="235"/>
      <c r="C125" s="238"/>
      <c r="D125" s="241"/>
      <c r="E125" s="249"/>
      <c r="F125" s="241"/>
      <c r="G125" s="196"/>
      <c r="H125" s="67" t="s">
        <v>222</v>
      </c>
      <c r="I125" s="73">
        <f ca="1">_xlfn.QUARTILE.INC(('METCM (from METGC)'!J6:J8,'METCM (from METGC)'!J15:J17,'METCM (from METGC)'!J24:J26,'METCM (from METGC)'!J33:J35,'METCM (from METGC)'!J42:J44,'METCM (from METGC)'!J51:J53),3)</f>
        <v>188.67175724999998</v>
      </c>
      <c r="J125" s="89">
        <f ca="1">_xlfn.QUARTILE.INC(('METCM (from METGC)'!K6:K8,'METCM (from METGC)'!K15:K17,'METCM (from METGC)'!K24:K26,'METCM (from METGC)'!K33:K35,'METCM (from METGC)'!K42:K44,'METCM (from METGC)'!K51:K53),3)</f>
        <v>39.134740499999999</v>
      </c>
    </row>
    <row r="126" spans="1:10">
      <c r="A126" s="63"/>
      <c r="B126" s="235"/>
      <c r="C126" s="238"/>
      <c r="D126" s="241"/>
      <c r="E126" s="249"/>
      <c r="F126" s="241"/>
      <c r="G126" s="196"/>
      <c r="H126" s="67" t="s">
        <v>224</v>
      </c>
      <c r="I126" s="73">
        <f ca="1">I125-I124</f>
        <v>9.8746807499999818</v>
      </c>
      <c r="J126" s="89">
        <f ca="1">J125-J124</f>
        <v>5.9789455000000018</v>
      </c>
    </row>
    <row r="127" spans="1:10">
      <c r="A127" s="63"/>
      <c r="B127" s="235"/>
      <c r="C127" s="238"/>
      <c r="D127" s="241"/>
      <c r="E127" s="249"/>
      <c r="F127" s="241"/>
      <c r="G127" s="196"/>
      <c r="H127" s="67" t="s">
        <v>225</v>
      </c>
      <c r="I127" s="73">
        <f>I121-_xlfn.CONFIDENCE.T(0.05,I122,I120)</f>
        <v>163.42849160572581</v>
      </c>
      <c r="J127" s="89">
        <f>J121-_xlfn.CONFIDENCE.T(0.05,J122,J120)</f>
        <v>34.448865549804687</v>
      </c>
    </row>
    <row r="128" spans="1:10">
      <c r="A128" s="63"/>
      <c r="B128" s="235"/>
      <c r="C128" s="238"/>
      <c r="D128" s="241"/>
      <c r="E128" s="250"/>
      <c r="F128" s="241"/>
      <c r="G128" s="196"/>
      <c r="H128" s="67" t="s">
        <v>226</v>
      </c>
      <c r="I128" s="73">
        <f>I121+_xlfn.CONFIDENCE.T(0.05,I122,I120)</f>
        <v>451.13317417205184</v>
      </c>
      <c r="J128" s="89">
        <f>J121+_xlfn.CONFIDENCE.T(0.05,J122,J120)</f>
        <v>41.94633711686199</v>
      </c>
    </row>
    <row r="129" spans="1:10">
      <c r="A129" s="46"/>
      <c r="B129" s="235"/>
      <c r="C129" s="238"/>
      <c r="D129" s="241"/>
      <c r="E129" s="208" t="s">
        <v>47</v>
      </c>
      <c r="F129" s="241"/>
      <c r="G129" s="196"/>
      <c r="H129" s="67" t="s">
        <v>217</v>
      </c>
      <c r="I129" s="24">
        <f>COUNT('METCM (from METGC)'!J9:J11,'METCM (from METGC)'!J18:J20,'METCM (from METGC)'!J27:J29,'METCM (from METGC)'!J36:J38,'METCM (from METGC)'!J45:J47,'METCM (from METGC)'!J54:J56)</f>
        <v>18</v>
      </c>
      <c r="J129" s="90">
        <f>COUNT('METCM (from METGC)'!K9:K11,'METCM (from METGC)'!K18:K20,'METCM (from METGC)'!K27:K29,'METCM (from METGC)'!K36:K38,'METCM (from METGC)'!K45:K47,'METCM (from METGC)'!K54:K56)</f>
        <v>18</v>
      </c>
    </row>
    <row r="130" spans="1:10">
      <c r="A130" s="46"/>
      <c r="B130" s="235"/>
      <c r="C130" s="238"/>
      <c r="D130" s="241"/>
      <c r="E130" s="251"/>
      <c r="F130" s="241"/>
      <c r="G130" s="196"/>
      <c r="H130" s="67" t="s">
        <v>218</v>
      </c>
      <c r="I130" s="102">
        <f>AVERAGE('METCM (from METGC)'!J9:J11,'METCM (from METGC)'!J18:J20,'METCM (from METGC)'!J27:J29,'METCM (from METGC)'!J36:J38,'METCM (from METGC)'!J45:J47,'METCM (from METGC)'!J54:J56)</f>
        <v>583.74694905555555</v>
      </c>
      <c r="J130" s="103">
        <f>AVERAGE('METCM (from METGC)'!K9:K11,'METCM (from METGC)'!K18:K20,'METCM (from METGC)'!K27:K29,'METCM (from METGC)'!K36:K38,'METCM (from METGC)'!K45:K47,'METCM (from METGC)'!K54:K56)</f>
        <v>66.643695555555553</v>
      </c>
    </row>
    <row r="131" spans="1:10">
      <c r="A131" s="46"/>
      <c r="B131" s="235"/>
      <c r="C131" s="238"/>
      <c r="D131" s="241"/>
      <c r="E131" s="251"/>
      <c r="F131" s="241"/>
      <c r="G131" s="196"/>
      <c r="H131" s="67" t="s">
        <v>219</v>
      </c>
      <c r="I131" s="102">
        <f>_xlfn.STDEV.S('METCM (from METGC)'!J9:J11,'METCM (from METGC)'!J18:J20,'METCM (from METGC)'!J27:J29,'METCM (from METGC)'!J36:J38,'METCM (from METGC)'!J45:J47,'METCM (from METGC)'!J54:J56)</f>
        <v>555.50088110736556</v>
      </c>
      <c r="J131" s="103">
        <f>_xlfn.STDEV.S('METCM (from METGC)'!K9:K11,'METCM (from METGC)'!K18:K20,'METCM (from METGC)'!K27:K29,'METCM (from METGC)'!K36:K38,'METCM (from METGC)'!K45:K47,'METCM (from METGC)'!K54:K56)</f>
        <v>22.378559236075827</v>
      </c>
    </row>
    <row r="132" spans="1:10">
      <c r="A132" s="46"/>
      <c r="B132" s="235"/>
      <c r="C132" s="238"/>
      <c r="D132" s="241"/>
      <c r="E132" s="251"/>
      <c r="F132" s="241"/>
      <c r="G132" s="196"/>
      <c r="H132" s="67" t="s">
        <v>220</v>
      </c>
      <c r="I132" s="24">
        <f>MEDIAN('METCM (from METGC)'!J9:J11,'METCM (from METGC)'!J18:J20,'METCM (from METGC)'!J27:J29,'METCM (from METGC)'!J36:J38,'METCM (from METGC)'!J45:J47,'METCM (from METGC)'!J54:J56)</f>
        <v>345.64501799999999</v>
      </c>
      <c r="J132" s="91">
        <f>MEDIAN('METCM (from METGC)'!K9:K11,'METCM (from METGC)'!K18:K20,'METCM (from METGC)'!K27:K29,'METCM (from METGC)'!K36:K38,'METCM (from METGC)'!K45:K47,'METCM (from METGC)'!K54:K56)</f>
        <v>62.827188000000007</v>
      </c>
    </row>
    <row r="133" spans="1:10">
      <c r="A133" s="46"/>
      <c r="B133" s="235"/>
      <c r="C133" s="238"/>
      <c r="D133" s="241"/>
      <c r="E133" s="251"/>
      <c r="F133" s="241"/>
      <c r="G133" s="196"/>
      <c r="H133" s="67" t="s">
        <v>221</v>
      </c>
      <c r="I133" s="74">
        <f ca="1">_xlfn.QUARTILE.INC(('METCM (from METGC)'!J9:J11,'METCM (from METGC)'!J18:J20,'METCM (from METGC)'!J27:J29,'METCM (from METGC)'!J36:J38,'METCM (from METGC)'!J45:J47,'METCM (from METGC)'!J54:J56),1)</f>
        <v>333.14256699999999</v>
      </c>
      <c r="J133" s="91">
        <f ca="1">_xlfn.QUARTILE.INC(('METCM (from METGC)'!K9:K11,'METCM (from METGC)'!K18:K20,'METCM (from METGC)'!K27:K29,'METCM (from METGC)'!K36:K38,'METCM (from METGC)'!K45:K47,'METCM (from METGC)'!K54:K56),1)</f>
        <v>48.185875250000002</v>
      </c>
    </row>
    <row r="134" spans="1:10">
      <c r="A134" s="46"/>
      <c r="B134" s="235"/>
      <c r="C134" s="238"/>
      <c r="D134" s="241"/>
      <c r="E134" s="251"/>
      <c r="F134" s="241"/>
      <c r="G134" s="196"/>
      <c r="H134" s="67" t="s">
        <v>222</v>
      </c>
      <c r="I134" s="74">
        <f ca="1">_xlfn.QUARTILE.INC(('METCM (from METGC)'!J9:J11,'METCM (from METGC)'!J18:J20,'METCM (from METGC)'!J27:J29,'METCM (from METGC)'!J36:J38,'METCM (from METGC)'!J45:J47,'METCM (from METGC)'!J54:J56),3)</f>
        <v>355.87773349999998</v>
      </c>
      <c r="J134" s="91">
        <f ca="1">_xlfn.QUARTILE.INC(('METCM (from METGC)'!K9:K11,'METCM (from METGC)'!K18:K20,'METCM (from METGC)'!K27:K29,'METCM (from METGC)'!K36:K38,'METCM (from METGC)'!K45:K47,'METCM (from METGC)'!K54:K56),3)</f>
        <v>80.369627999999992</v>
      </c>
    </row>
    <row r="135" spans="1:10">
      <c r="A135" s="46"/>
      <c r="B135" s="235"/>
      <c r="C135" s="238"/>
      <c r="D135" s="241"/>
      <c r="E135" s="251"/>
      <c r="F135" s="241"/>
      <c r="G135" s="196"/>
      <c r="H135" s="67" t="s">
        <v>224</v>
      </c>
      <c r="I135" s="74">
        <f ca="1">I134-I133</f>
        <v>22.735166499999991</v>
      </c>
      <c r="J135" s="91">
        <f ca="1">J134-J133</f>
        <v>32.183752749999989</v>
      </c>
    </row>
    <row r="136" spans="1:10">
      <c r="A136" s="46"/>
      <c r="B136" s="235"/>
      <c r="C136" s="238"/>
      <c r="D136" s="241"/>
      <c r="E136" s="251"/>
      <c r="F136" s="241"/>
      <c r="G136" s="196"/>
      <c r="H136" s="67" t="s">
        <v>225</v>
      </c>
      <c r="I136" s="74">
        <f>I130-_xlfn.CONFIDENCE.T(0.05,I131,I129)</f>
        <v>307.50285984510822</v>
      </c>
      <c r="J136" s="91">
        <f>J130-_xlfn.CONFIDENCE.T(0.05,J131,J129)</f>
        <v>55.515099860642543</v>
      </c>
    </row>
    <row r="137" spans="1:10">
      <c r="A137" s="47"/>
      <c r="B137" s="236"/>
      <c r="C137" s="239"/>
      <c r="D137" s="242"/>
      <c r="E137" s="252"/>
      <c r="F137" s="242"/>
      <c r="G137" s="197"/>
      <c r="H137" s="68" t="s">
        <v>226</v>
      </c>
      <c r="I137" s="75">
        <f>I130+_xlfn.CONFIDENCE.T(0.05,I131,I129)</f>
        <v>859.99103826600287</v>
      </c>
      <c r="J137" s="92">
        <f>J130+_xlfn.CONFIDENCE.T(0.05,J131,J129)</f>
        <v>77.772291250468555</v>
      </c>
    </row>
    <row r="138" spans="1:10">
      <c r="B138" s="185"/>
      <c r="C138" s="185"/>
      <c r="G138" s="185"/>
      <c r="H138" s="185"/>
    </row>
  </sheetData>
  <mergeCells count="49">
    <mergeCell ref="E75:E83"/>
    <mergeCell ref="G30:G56"/>
    <mergeCell ref="E30:E38"/>
    <mergeCell ref="E39:E47"/>
    <mergeCell ref="E48:E56"/>
    <mergeCell ref="E66:E74"/>
    <mergeCell ref="B111:B137"/>
    <mergeCell ref="C111:C137"/>
    <mergeCell ref="D111:D137"/>
    <mergeCell ref="G111:G137"/>
    <mergeCell ref="B84:B110"/>
    <mergeCell ref="C84:C110"/>
    <mergeCell ref="D84:D110"/>
    <mergeCell ref="G84:G110"/>
    <mergeCell ref="E129:E137"/>
    <mergeCell ref="F111:F137"/>
    <mergeCell ref="E111:E119"/>
    <mergeCell ref="E120:E128"/>
    <mergeCell ref="F84:F110"/>
    <mergeCell ref="E102:E110"/>
    <mergeCell ref="E84:E92"/>
    <mergeCell ref="E93:E101"/>
    <mergeCell ref="B30:B56"/>
    <mergeCell ref="C30:C56"/>
    <mergeCell ref="D30:D56"/>
    <mergeCell ref="E57:E65"/>
    <mergeCell ref="G1:G2"/>
    <mergeCell ref="B57:B83"/>
    <mergeCell ref="C57:C83"/>
    <mergeCell ref="D57:D83"/>
    <mergeCell ref="G57:G83"/>
    <mergeCell ref="F57:F83"/>
    <mergeCell ref="F1:F2"/>
    <mergeCell ref="F30:F56"/>
    <mergeCell ref="F3:F29"/>
    <mergeCell ref="E3:E11"/>
    <mergeCell ref="E12:E20"/>
    <mergeCell ref="E21:E29"/>
    <mergeCell ref="I1:J1"/>
    <mergeCell ref="B3:B29"/>
    <mergeCell ref="C3:C29"/>
    <mergeCell ref="D3:D29"/>
    <mergeCell ref="G3:G29"/>
    <mergeCell ref="H1:H2"/>
    <mergeCell ref="A1:A2"/>
    <mergeCell ref="B1:B2"/>
    <mergeCell ref="C1:C2"/>
    <mergeCell ref="D1:D2"/>
    <mergeCell ref="E1:E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6A98166-3C6E-427E-A677-D01668648017}">
          <x14:formula1>
            <xm:f>'DATA - IKKE RØR'!$A$7:$A$9</xm:f>
          </x14:formula1>
          <xm:sqref>B3:B9 B111:B117 B84:B90 B30:B38 B57:B63</xm:sqref>
        </x14:dataValidation>
        <x14:dataValidation type="list" allowBlank="1" showInputMessage="1" showErrorMessage="1" xr:uid="{27B37709-2317-4B86-A3CB-8846855383E1}">
          <x14:formula1>
            <xm:f>'DATA - IKKE RØR'!$A$3:$A$5</xm:f>
          </x14:formula1>
          <xm:sqref>C3:C137</xm:sqref>
        </x14:dataValidation>
        <x14:dataValidation type="list" allowBlank="1" showInputMessage="1" showErrorMessage="1" xr:uid="{0F015BA0-E276-43C9-B785-EF2FED4D3D8B}">
          <x14:formula1>
            <xm:f>'DATA - IKKE RØR'!$L$3:$L$8</xm:f>
          </x14:formula1>
          <xm:sqref>D3:D137</xm:sqref>
        </x14:dataValidation>
        <x14:dataValidation type="list" allowBlank="1" showInputMessage="1" showErrorMessage="1" xr:uid="{2346B4B5-8E94-45B5-AE1C-4A889F172F1B}">
          <x14:formula1>
            <xm:f>'DATA - IKKE RØR'!$A$11:$A$20</xm:f>
          </x14:formula1>
          <xm:sqref>E129 E120 E111 E21 E48 E75 E102 E12 E39 E66 E93 E3 E30 E57 E84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97EB4-9FA8-4EBB-BFA9-F9BC8FEDEFE8}">
  <sheetPr>
    <tabColor rgb="FF7030A0"/>
  </sheetPr>
  <dimension ref="A1:P137"/>
  <sheetViews>
    <sheetView workbookViewId="0">
      <pane ySplit="2" topLeftCell="A3" activePane="bottomLeft" state="frozen"/>
      <selection pane="bottomLeft" activeCell="A49" sqref="A49"/>
    </sheetView>
  </sheetViews>
  <sheetFormatPr defaultRowHeight="15"/>
  <cols>
    <col min="1" max="1" width="8" customWidth="1"/>
    <col min="2" max="3" width="12.42578125" style="65" customWidth="1"/>
    <col min="4" max="4" width="15.85546875" customWidth="1"/>
    <col min="5" max="5" width="12.140625" bestFit="1" customWidth="1"/>
    <col min="6" max="6" width="14.7109375" bestFit="1" customWidth="1"/>
    <col min="7" max="7" width="13.28515625" style="65" bestFit="1" customWidth="1"/>
    <col min="8" max="8" width="20.28515625" style="65" bestFit="1" customWidth="1"/>
    <col min="9" max="9" width="34.85546875" style="120" customWidth="1"/>
    <col min="10" max="10" width="33.5703125" style="121" customWidth="1"/>
    <col min="11" max="12" width="33.5703125" style="141" customWidth="1"/>
    <col min="13" max="13" width="33.5703125" style="120" customWidth="1"/>
    <col min="14" max="14" width="33.5703125" style="121" customWidth="1"/>
    <col min="15" max="15" width="12.42578125" bestFit="1" customWidth="1"/>
    <col min="16" max="16" width="9.28515625" customWidth="1"/>
    <col min="17" max="17" width="9.42578125" customWidth="1"/>
  </cols>
  <sheetData>
    <row r="1" spans="1:14" ht="20.100000000000001" customHeight="1">
      <c r="A1" s="219" t="s">
        <v>102</v>
      </c>
      <c r="B1" s="221" t="s">
        <v>103</v>
      </c>
      <c r="C1" s="221" t="s">
        <v>104</v>
      </c>
      <c r="D1" s="221" t="s">
        <v>9</v>
      </c>
      <c r="E1" s="212" t="s">
        <v>105</v>
      </c>
      <c r="F1" s="212" t="s">
        <v>110</v>
      </c>
      <c r="G1" s="212" t="s">
        <v>107</v>
      </c>
      <c r="H1" s="214" t="s">
        <v>216</v>
      </c>
      <c r="I1" s="216" t="s">
        <v>230</v>
      </c>
      <c r="J1" s="217"/>
      <c r="K1" s="216" t="s">
        <v>231</v>
      </c>
      <c r="L1" s="217"/>
      <c r="M1" s="216" t="s">
        <v>232</v>
      </c>
      <c r="N1" s="218"/>
    </row>
    <row r="2" spans="1:14" ht="20.100000000000001" customHeight="1">
      <c r="A2" s="220"/>
      <c r="B2" s="222"/>
      <c r="C2" s="222"/>
      <c r="D2" s="222"/>
      <c r="E2" s="213"/>
      <c r="F2" s="213"/>
      <c r="G2" s="213"/>
      <c r="H2" s="215"/>
      <c r="I2" s="105" t="s">
        <v>111</v>
      </c>
      <c r="J2" s="126" t="s">
        <v>112</v>
      </c>
      <c r="K2" s="105" t="s">
        <v>111</v>
      </c>
      <c r="L2" s="126" t="s">
        <v>112</v>
      </c>
      <c r="M2" s="105" t="s">
        <v>111</v>
      </c>
      <c r="N2" s="106" t="s">
        <v>112</v>
      </c>
    </row>
    <row r="3" spans="1:14">
      <c r="A3" s="61"/>
      <c r="B3" s="195" t="s">
        <v>36</v>
      </c>
      <c r="C3" s="195" t="s">
        <v>25</v>
      </c>
      <c r="D3" s="198" t="s">
        <v>18</v>
      </c>
      <c r="E3" s="198" t="s">
        <v>40</v>
      </c>
      <c r="F3" s="202" t="s">
        <v>192</v>
      </c>
      <c r="G3" s="195">
        <v>6000</v>
      </c>
      <c r="H3" s="122" t="s">
        <v>217</v>
      </c>
      <c r="I3" s="107">
        <f>COUNT('METCM (Meteomatics)'!J165)</f>
        <v>1</v>
      </c>
      <c r="J3" s="127">
        <f>COUNT('METCM (Meteomatics)'!K165)</f>
        <v>1</v>
      </c>
      <c r="K3" s="107">
        <f>COUNT('METCM (Meteomatics)'!J166)</f>
        <v>1</v>
      </c>
      <c r="L3" s="127">
        <f>COUNT('METCM (Meteomatics)'!K166)</f>
        <v>1</v>
      </c>
      <c r="M3" s="107">
        <f>COUNT('METCM (Meteomatics)'!J168)</f>
        <v>1</v>
      </c>
      <c r="N3" s="85">
        <f>COUNT('METCM (Meteomatics)'!K168)</f>
        <v>1</v>
      </c>
    </row>
    <row r="4" spans="1:14">
      <c r="A4" s="62"/>
      <c r="B4" s="196"/>
      <c r="C4" s="196"/>
      <c r="D4" s="200"/>
      <c r="E4" s="199"/>
      <c r="F4" s="200"/>
      <c r="G4" s="196"/>
      <c r="H4" s="123" t="s">
        <v>218</v>
      </c>
      <c r="I4" s="108">
        <f>AVERAGE('METCM (Meteomatics)'!J165)</f>
        <v>244.42184900000001</v>
      </c>
      <c r="J4" s="147">
        <f>AVERAGE('METCM (Meteomatics)'!K165)</f>
        <v>34.989024999999998</v>
      </c>
      <c r="K4" s="108">
        <f>AVERAGE('METCM (Meteomatics)'!J166)</f>
        <v>246.60966400000001</v>
      </c>
      <c r="L4" s="147">
        <f>AVERAGE('METCM (Meteomatics)'!K166)</f>
        <v>35.038342</v>
      </c>
      <c r="M4" s="108">
        <f>AVERAGE('METCM (Meteomatics)'!J168)</f>
        <v>255.171055</v>
      </c>
      <c r="N4" s="146">
        <f>AVERAGE('METCM (Meteomatics)'!K168)</f>
        <v>35.231962000000003</v>
      </c>
    </row>
    <row r="5" spans="1:14">
      <c r="A5" s="62"/>
      <c r="B5" s="196"/>
      <c r="C5" s="196"/>
      <c r="D5" s="200"/>
      <c r="E5" s="199"/>
      <c r="F5" s="200"/>
      <c r="G5" s="196"/>
      <c r="H5" s="123" t="s">
        <v>219</v>
      </c>
      <c r="I5" s="109" t="e">
        <f>_xlfn.STDEV.S('METCM (Meteomatics)'!J165)</f>
        <v>#DIV/0!</v>
      </c>
      <c r="J5" s="128" t="e">
        <f>_xlfn.STDEV.S('METCM (Meteomatics)'!K165)</f>
        <v>#DIV/0!</v>
      </c>
      <c r="K5" s="109" t="e">
        <f>_xlfn.STDEV.S('METCM (Meteomatics)'!J166)</f>
        <v>#DIV/0!</v>
      </c>
      <c r="L5" s="128" t="e">
        <f>_xlfn.STDEV.S('METCM (Meteomatics)'!K166)</f>
        <v>#DIV/0!</v>
      </c>
      <c r="M5" s="109" t="e">
        <f>_xlfn.STDEV.S('METCM (Meteomatics)'!J168)</f>
        <v>#DIV/0!</v>
      </c>
      <c r="N5" s="99" t="e">
        <f>_xlfn.STDEV.S('METCM (Meteomatics)'!K168)</f>
        <v>#DIV/0!</v>
      </c>
    </row>
    <row r="6" spans="1:14">
      <c r="A6" s="62"/>
      <c r="B6" s="196"/>
      <c r="C6" s="196"/>
      <c r="D6" s="200"/>
      <c r="E6" s="199"/>
      <c r="F6" s="200"/>
      <c r="G6" s="196"/>
      <c r="H6" s="123" t="s">
        <v>220</v>
      </c>
      <c r="I6" s="110">
        <f>MEDIAN('METCM (Meteomatics)'!J165)</f>
        <v>244.42184900000001</v>
      </c>
      <c r="J6" s="129">
        <f>MEDIAN('METCM (Meteomatics)'!K165)</f>
        <v>34.989024999999998</v>
      </c>
      <c r="K6" s="110">
        <f>MEDIAN('METCM (Meteomatics)'!J166)</f>
        <v>246.60966400000001</v>
      </c>
      <c r="L6" s="129">
        <f>MEDIAN('METCM (Meteomatics)'!K166)</f>
        <v>35.038342</v>
      </c>
      <c r="M6" s="110">
        <f>MEDIAN('METCM (Meteomatics)'!J168)</f>
        <v>255.171055</v>
      </c>
      <c r="N6" s="95">
        <f>MEDIAN('METCM (Meteomatics)'!K168)</f>
        <v>35.231962000000003</v>
      </c>
    </row>
    <row r="7" spans="1:14">
      <c r="A7" s="62"/>
      <c r="B7" s="196"/>
      <c r="C7" s="196"/>
      <c r="D7" s="200"/>
      <c r="E7" s="199"/>
      <c r="F7" s="200"/>
      <c r="G7" s="196"/>
      <c r="H7" s="123" t="s">
        <v>221</v>
      </c>
      <c r="I7" s="62">
        <f>_xlfn.QUARTILE.INC(('METCM (Meteomatics)'!J165),1)</f>
        <v>244.42184900000001</v>
      </c>
      <c r="J7" s="130">
        <f>_xlfn.QUARTILE.INC(('METCM (Meteomatics)'!K165),1)</f>
        <v>34.989024999999998</v>
      </c>
      <c r="K7" s="62">
        <f>_xlfn.QUARTILE.INC(('METCM (Meteomatics)'!J166),1)</f>
        <v>246.60966400000001</v>
      </c>
      <c r="L7" s="130">
        <f>_xlfn.QUARTILE.INC(('METCM (Meteomatics)'!K166),1)</f>
        <v>35.038342</v>
      </c>
      <c r="M7" s="62">
        <f>_xlfn.QUARTILE.INC(('METCM (Meteomatics)'!J168),1)</f>
        <v>255.171055</v>
      </c>
      <c r="N7" s="96">
        <f>_xlfn.QUARTILE.INC(('METCM (Meteomatics)'!K168),1)</f>
        <v>35.231962000000003</v>
      </c>
    </row>
    <row r="8" spans="1:14">
      <c r="A8" s="62"/>
      <c r="B8" s="196"/>
      <c r="C8" s="196"/>
      <c r="D8" s="200"/>
      <c r="E8" s="199"/>
      <c r="F8" s="200"/>
      <c r="G8" s="196"/>
      <c r="H8" s="123" t="s">
        <v>222</v>
      </c>
      <c r="I8" s="62">
        <f>_xlfn.QUARTILE.INC(('METCM (Meteomatics)'!J165),3)</f>
        <v>244.42184900000001</v>
      </c>
      <c r="J8" s="130">
        <f>_xlfn.QUARTILE.INC(('METCM (Meteomatics)'!K165),3)</f>
        <v>34.989024999999998</v>
      </c>
      <c r="K8" s="62">
        <f>_xlfn.QUARTILE.INC(('METCM (Meteomatics)'!J166),3)</f>
        <v>246.60966400000001</v>
      </c>
      <c r="L8" s="130">
        <f>_xlfn.QUARTILE.INC(('METCM (Meteomatics)'!K166),3)</f>
        <v>35.038342</v>
      </c>
      <c r="M8" s="62">
        <f>_xlfn.QUARTILE.INC(('METCM (Meteomatics)'!J168),3)</f>
        <v>255.171055</v>
      </c>
      <c r="N8" s="96">
        <f>_xlfn.QUARTILE.INC(('METCM (Meteomatics)'!K168),3)</f>
        <v>35.231962000000003</v>
      </c>
    </row>
    <row r="9" spans="1:14">
      <c r="A9" s="62"/>
      <c r="B9" s="196"/>
      <c r="C9" s="196"/>
      <c r="D9" s="200"/>
      <c r="E9" s="199"/>
      <c r="F9" s="200"/>
      <c r="G9" s="196"/>
      <c r="H9" s="123" t="s">
        <v>224</v>
      </c>
      <c r="I9" s="110">
        <f>I8-I7</f>
        <v>0</v>
      </c>
      <c r="J9" s="129">
        <f>J8-J7</f>
        <v>0</v>
      </c>
      <c r="K9" s="110">
        <f t="shared" ref="K9:N9" si="0">K8-K7</f>
        <v>0</v>
      </c>
      <c r="L9" s="129">
        <f t="shared" si="0"/>
        <v>0</v>
      </c>
      <c r="M9" s="110">
        <f t="shared" si="0"/>
        <v>0</v>
      </c>
      <c r="N9" s="95">
        <f t="shared" si="0"/>
        <v>0</v>
      </c>
    </row>
    <row r="10" spans="1:14">
      <c r="A10" s="62"/>
      <c r="B10" s="196"/>
      <c r="C10" s="196"/>
      <c r="D10" s="200"/>
      <c r="E10" s="199"/>
      <c r="F10" s="200"/>
      <c r="G10" s="196"/>
      <c r="H10" s="123" t="s">
        <v>225</v>
      </c>
      <c r="I10" s="110" t="e">
        <f>I4-_xlfn.CONFIDENCE.T(0.05,I5,I3)</f>
        <v>#DIV/0!</v>
      </c>
      <c r="J10" s="129" t="e">
        <f>J4-_xlfn.CONFIDENCE.T(0.05,J5,J3)</f>
        <v>#DIV/0!</v>
      </c>
      <c r="K10" s="110" t="e">
        <f t="shared" ref="K10:N10" si="1">K4-_xlfn.CONFIDENCE.T(0.05,K5,K3)</f>
        <v>#DIV/0!</v>
      </c>
      <c r="L10" s="129" t="e">
        <f t="shared" ref="L10" si="2">L4-_xlfn.CONFIDENCE.T(0.05,L5,L3)</f>
        <v>#DIV/0!</v>
      </c>
      <c r="M10" s="110" t="e">
        <f t="shared" si="1"/>
        <v>#DIV/0!</v>
      </c>
      <c r="N10" s="95" t="e">
        <f t="shared" ref="N10" si="3">N4-_xlfn.CONFIDENCE.T(0.05,N5,N3)</f>
        <v>#DIV/0!</v>
      </c>
    </row>
    <row r="11" spans="1:14">
      <c r="A11" s="62"/>
      <c r="B11" s="196"/>
      <c r="C11" s="196"/>
      <c r="D11" s="200"/>
      <c r="E11" s="199"/>
      <c r="F11" s="200"/>
      <c r="G11" s="196"/>
      <c r="H11" s="123" t="s">
        <v>226</v>
      </c>
      <c r="I11" s="110" t="e">
        <f>I4+_xlfn.CONFIDENCE.T(0.05,I5,I3)</f>
        <v>#DIV/0!</v>
      </c>
      <c r="J11" s="129" t="e">
        <f>J4+_xlfn.CONFIDENCE.T(0.05,J5,J3)</f>
        <v>#DIV/0!</v>
      </c>
      <c r="K11" s="110" t="e">
        <f t="shared" ref="K11:N11" si="4">K4+_xlfn.CONFIDENCE.T(0.05,K5,K3)</f>
        <v>#DIV/0!</v>
      </c>
      <c r="L11" s="129" t="e">
        <f t="shared" ref="L11" si="5">L4+_xlfn.CONFIDENCE.T(0.05,L5,L3)</f>
        <v>#DIV/0!</v>
      </c>
      <c r="M11" s="110" t="e">
        <f t="shared" si="4"/>
        <v>#DIV/0!</v>
      </c>
      <c r="N11" s="95" t="e">
        <f t="shared" ref="N11" si="6">N4+_xlfn.CONFIDENCE.T(0.05,N5,N3)</f>
        <v>#DIV/0!</v>
      </c>
    </row>
    <row r="12" spans="1:14">
      <c r="A12" s="63"/>
      <c r="B12" s="196"/>
      <c r="C12" s="196"/>
      <c r="D12" s="200"/>
      <c r="E12" s="204" t="s">
        <v>42</v>
      </c>
      <c r="F12" s="200"/>
      <c r="G12" s="196"/>
      <c r="H12" s="123" t="s">
        <v>217</v>
      </c>
      <c r="I12" s="111">
        <f>COUNT('METCM (Meteomatics)'!J170)</f>
        <v>1</v>
      </c>
      <c r="J12" s="132">
        <f>COUNT('METCM (Meteomatics)'!K170)</f>
        <v>1</v>
      </c>
      <c r="K12" s="111">
        <f>COUNT('METCM (Meteomatics)'!J171)</f>
        <v>1</v>
      </c>
      <c r="L12" s="132">
        <f>COUNT('METCM (Meteomatics)'!K171)</f>
        <v>1</v>
      </c>
      <c r="M12" s="111">
        <f>COUNT('METCM (Meteomatics)'!J173)</f>
        <v>1</v>
      </c>
      <c r="N12" s="88">
        <f>COUNT('METCM (Meteomatics)'!K173)</f>
        <v>1</v>
      </c>
    </row>
    <row r="13" spans="1:14">
      <c r="A13" s="63"/>
      <c r="B13" s="196"/>
      <c r="C13" s="196"/>
      <c r="D13" s="200"/>
      <c r="E13" s="204"/>
      <c r="F13" s="200"/>
      <c r="G13" s="196"/>
      <c r="H13" s="123" t="s">
        <v>218</v>
      </c>
      <c r="I13" s="112">
        <f>AVERAGE('METCM (Meteomatics)'!J170)</f>
        <v>249.433075</v>
      </c>
      <c r="J13" s="133">
        <f>AVERAGE('METCM (Meteomatics)'!K170)</f>
        <v>37.207127</v>
      </c>
      <c r="K13" s="112">
        <f>AVERAGE('METCM (Meteomatics)'!J171)</f>
        <v>251.67016599999999</v>
      </c>
      <c r="L13" s="133">
        <f>AVERAGE('METCM (Meteomatics)'!K171)</f>
        <v>37.273778999999998</v>
      </c>
      <c r="M13" s="112">
        <f>AVERAGE('METCM (Meteomatics)'!J173)</f>
        <v>260.42424099999999</v>
      </c>
      <c r="N13" s="101">
        <f>AVERAGE('METCM (Meteomatics)'!K173)</f>
        <v>37.535212000000001</v>
      </c>
    </row>
    <row r="14" spans="1:14">
      <c r="A14" s="63"/>
      <c r="B14" s="196"/>
      <c r="C14" s="196"/>
      <c r="D14" s="200"/>
      <c r="E14" s="204"/>
      <c r="F14" s="200"/>
      <c r="G14" s="196"/>
      <c r="H14" s="123" t="s">
        <v>219</v>
      </c>
      <c r="I14" s="112" t="e">
        <f>_xlfn.STDEV.S('METCM (Meteomatics)'!J170)</f>
        <v>#DIV/0!</v>
      </c>
      <c r="J14" s="133" t="e">
        <f>_xlfn.STDEV.S('METCM (Meteomatics)'!K170)</f>
        <v>#DIV/0!</v>
      </c>
      <c r="K14" s="112" t="e">
        <f>_xlfn.STDEV.S('METCM (Meteomatics)'!J171)</f>
        <v>#DIV/0!</v>
      </c>
      <c r="L14" s="133" t="e">
        <f>_xlfn.STDEV.S('METCM (Meteomatics)'!K171)</f>
        <v>#DIV/0!</v>
      </c>
      <c r="M14" s="112" t="e">
        <f>_xlfn.STDEV.S('METCM (Meteomatics)'!J173)</f>
        <v>#DIV/0!</v>
      </c>
      <c r="N14" s="101" t="e">
        <f>_xlfn.STDEV.S('METCM (Meteomatics)'!K173)</f>
        <v>#DIV/0!</v>
      </c>
    </row>
    <row r="15" spans="1:14">
      <c r="A15" s="63"/>
      <c r="B15" s="196"/>
      <c r="C15" s="196"/>
      <c r="D15" s="200"/>
      <c r="E15" s="204"/>
      <c r="F15" s="200"/>
      <c r="G15" s="196"/>
      <c r="H15" s="123" t="s">
        <v>220</v>
      </c>
      <c r="I15" s="111">
        <f>MEDIAN('METCM (Meteomatics)'!J170)</f>
        <v>249.433075</v>
      </c>
      <c r="J15" s="132">
        <f>MEDIAN('METCM (Meteomatics)'!K170)</f>
        <v>37.207127</v>
      </c>
      <c r="K15" s="111">
        <f>MEDIAN('METCM (Meteomatics)'!J171)</f>
        <v>251.67016599999999</v>
      </c>
      <c r="L15" s="132">
        <f>MEDIAN('METCM (Meteomatics)'!K171)</f>
        <v>37.273778999999998</v>
      </c>
      <c r="M15" s="111">
        <f>MEDIAN('METCM (Meteomatics)'!J173)</f>
        <v>260.42424099999999</v>
      </c>
      <c r="N15" s="88">
        <f>MEDIAN('METCM (Meteomatics)'!K173)</f>
        <v>37.535212000000001</v>
      </c>
    </row>
    <row r="16" spans="1:14">
      <c r="A16" s="63"/>
      <c r="B16" s="196"/>
      <c r="C16" s="196"/>
      <c r="D16" s="200"/>
      <c r="E16" s="204"/>
      <c r="F16" s="200"/>
      <c r="G16" s="196"/>
      <c r="H16" s="123" t="s">
        <v>221</v>
      </c>
      <c r="I16" s="111">
        <f>_xlfn.QUARTILE.INC(('METCM (Meteomatics)'!J170),1)</f>
        <v>249.433075</v>
      </c>
      <c r="J16" s="132">
        <f>_xlfn.QUARTILE.INC(('METCM (Meteomatics)'!K170),1)</f>
        <v>37.207127</v>
      </c>
      <c r="K16" s="111">
        <f>_xlfn.QUARTILE.INC(('METCM (Meteomatics)'!J171),1)</f>
        <v>251.67016599999999</v>
      </c>
      <c r="L16" s="132">
        <f>_xlfn.QUARTILE.INC(('METCM (Meteomatics)'!K171),1)</f>
        <v>37.273778999999998</v>
      </c>
      <c r="M16" s="111">
        <f>_xlfn.QUARTILE.INC(('METCM (Meteomatics)'!J173),1)</f>
        <v>260.42424099999999</v>
      </c>
      <c r="N16" s="88">
        <f>_xlfn.QUARTILE.INC(('METCM (Meteomatics)'!K173),1)</f>
        <v>37.535212000000001</v>
      </c>
    </row>
    <row r="17" spans="1:14">
      <c r="A17" s="63"/>
      <c r="B17" s="196"/>
      <c r="C17" s="196"/>
      <c r="D17" s="200"/>
      <c r="E17" s="204"/>
      <c r="F17" s="200"/>
      <c r="G17" s="196"/>
      <c r="H17" s="123" t="s">
        <v>222</v>
      </c>
      <c r="I17" s="111">
        <f>_xlfn.QUARTILE.INC(('METCM (Meteomatics)'!J170),3)</f>
        <v>249.433075</v>
      </c>
      <c r="J17" s="132">
        <f>_xlfn.QUARTILE.INC(('METCM (Meteomatics)'!K170),3)</f>
        <v>37.207127</v>
      </c>
      <c r="K17" s="111">
        <f>_xlfn.QUARTILE.INC(('METCM (Meteomatics)'!J171),3)</f>
        <v>251.67016599999999</v>
      </c>
      <c r="L17" s="132">
        <f>_xlfn.QUARTILE.INC(('METCM (Meteomatics)'!K171),3)</f>
        <v>37.273778999999998</v>
      </c>
      <c r="M17" s="111">
        <f>_xlfn.QUARTILE.INC(('METCM (Meteomatics)'!J173),3)</f>
        <v>260.42424099999999</v>
      </c>
      <c r="N17" s="88">
        <f>_xlfn.QUARTILE.INC(('METCM (Meteomatics)'!K173),3)</f>
        <v>37.535212000000001</v>
      </c>
    </row>
    <row r="18" spans="1:14">
      <c r="A18" s="63"/>
      <c r="B18" s="196"/>
      <c r="C18" s="196"/>
      <c r="D18" s="200"/>
      <c r="E18" s="204"/>
      <c r="F18" s="200"/>
      <c r="G18" s="196"/>
      <c r="H18" s="123" t="s">
        <v>224</v>
      </c>
      <c r="I18" s="111">
        <f>I17-I16</f>
        <v>0</v>
      </c>
      <c r="J18" s="132">
        <f>J17-J16</f>
        <v>0</v>
      </c>
      <c r="K18" s="111">
        <f t="shared" ref="K18:N18" si="7">K17-K16</f>
        <v>0</v>
      </c>
      <c r="L18" s="132">
        <f t="shared" si="7"/>
        <v>0</v>
      </c>
      <c r="M18" s="111">
        <f t="shared" si="7"/>
        <v>0</v>
      </c>
      <c r="N18" s="88">
        <f t="shared" si="7"/>
        <v>0</v>
      </c>
    </row>
    <row r="19" spans="1:14">
      <c r="A19" s="63"/>
      <c r="B19" s="196"/>
      <c r="C19" s="196"/>
      <c r="D19" s="200"/>
      <c r="E19" s="204"/>
      <c r="F19" s="200"/>
      <c r="G19" s="196"/>
      <c r="H19" s="123" t="s">
        <v>225</v>
      </c>
      <c r="I19" s="113" t="e">
        <f>I13-_xlfn.CONFIDENCE.T(0.05,I14,I12)</f>
        <v>#DIV/0!</v>
      </c>
      <c r="J19" s="134" t="e">
        <f>J13-_xlfn.CONFIDENCE.T(0.05,J14,J12)</f>
        <v>#DIV/0!</v>
      </c>
      <c r="K19" s="113" t="e">
        <f t="shared" ref="K19:N19" si="8">K13-_xlfn.CONFIDENCE.T(0.05,K14,K12)</f>
        <v>#DIV/0!</v>
      </c>
      <c r="L19" s="134" t="e">
        <f t="shared" ref="L19" si="9">L13-_xlfn.CONFIDENCE.T(0.05,L14,L12)</f>
        <v>#DIV/0!</v>
      </c>
      <c r="M19" s="113" t="e">
        <f t="shared" si="8"/>
        <v>#DIV/0!</v>
      </c>
      <c r="N19" s="89" t="e">
        <f t="shared" ref="N19" si="10">N13-_xlfn.CONFIDENCE.T(0.05,N14,N12)</f>
        <v>#DIV/0!</v>
      </c>
    </row>
    <row r="20" spans="1:14">
      <c r="A20" s="63"/>
      <c r="B20" s="196"/>
      <c r="C20" s="196"/>
      <c r="D20" s="200"/>
      <c r="E20" s="204"/>
      <c r="F20" s="200"/>
      <c r="G20" s="196"/>
      <c r="H20" s="123" t="s">
        <v>226</v>
      </c>
      <c r="I20" s="113" t="e">
        <f>I13+_xlfn.CONFIDENCE.T(0.05,I14,I12)</f>
        <v>#DIV/0!</v>
      </c>
      <c r="J20" s="134" t="e">
        <f>J13+_xlfn.CONFIDENCE.T(0.05,J14,J12)</f>
        <v>#DIV/0!</v>
      </c>
      <c r="K20" s="113" t="e">
        <f t="shared" ref="K20:N20" si="11">K13+_xlfn.CONFIDENCE.T(0.05,K14,K12)</f>
        <v>#DIV/0!</v>
      </c>
      <c r="L20" s="134" t="e">
        <f t="shared" ref="L20" si="12">L13+_xlfn.CONFIDENCE.T(0.05,L14,L12)</f>
        <v>#DIV/0!</v>
      </c>
      <c r="M20" s="113" t="e">
        <f t="shared" si="11"/>
        <v>#DIV/0!</v>
      </c>
      <c r="N20" s="89" t="e">
        <f t="shared" ref="N20" si="13">N13+_xlfn.CONFIDENCE.T(0.05,N14,N12)</f>
        <v>#DIV/0!</v>
      </c>
    </row>
    <row r="21" spans="1:14">
      <c r="A21" s="97"/>
      <c r="B21" s="196"/>
      <c r="C21" s="196"/>
      <c r="D21" s="200"/>
      <c r="E21" s="206" t="s">
        <v>47</v>
      </c>
      <c r="F21" s="200"/>
      <c r="G21" s="196"/>
      <c r="H21" s="123" t="s">
        <v>217</v>
      </c>
      <c r="I21" s="97">
        <f>COUNT('METCM (Meteomatics)'!J175)</f>
        <v>1</v>
      </c>
      <c r="J21" s="135">
        <f>COUNT('METCM (Meteomatics)'!K175)</f>
        <v>1</v>
      </c>
      <c r="K21" s="97">
        <f>COUNT('METCM (Meteomatics)'!J171)</f>
        <v>1</v>
      </c>
      <c r="L21" s="135">
        <f>COUNT('METCM (Meteomatics)'!K171)</f>
        <v>1</v>
      </c>
      <c r="M21" s="97">
        <f>COUNT('METCM (Meteomatics)'!J178)</f>
        <v>1</v>
      </c>
      <c r="N21" s="90">
        <f>COUNT('METCM (Meteomatics)'!K178)</f>
        <v>1</v>
      </c>
    </row>
    <row r="22" spans="1:14">
      <c r="A22" s="97"/>
      <c r="B22" s="196"/>
      <c r="C22" s="196"/>
      <c r="D22" s="200"/>
      <c r="E22" s="206"/>
      <c r="F22" s="200"/>
      <c r="G22" s="196"/>
      <c r="H22" s="123" t="s">
        <v>218</v>
      </c>
      <c r="I22" s="114">
        <f>AVERAGE('METCM (Meteomatics)'!J175)</f>
        <v>269.05437699999999</v>
      </c>
      <c r="J22" s="136">
        <f>AVERAGE('METCM (Meteomatics)'!K175)</f>
        <v>36.587891999999997</v>
      </c>
      <c r="K22" s="114">
        <f>AVERAGE('METCM (Meteomatics)'!J171)</f>
        <v>251.67016599999999</v>
      </c>
      <c r="L22" s="136">
        <f>AVERAGE('METCM (Meteomatics)'!K171)</f>
        <v>37.273778999999998</v>
      </c>
      <c r="M22" s="114">
        <f>AVERAGE('METCM (Meteomatics)'!J178)</f>
        <v>280.92531600000001</v>
      </c>
      <c r="N22" s="103">
        <f>AVERAGE('METCM (Meteomatics)'!K178)</f>
        <v>36.845505000000003</v>
      </c>
    </row>
    <row r="23" spans="1:14">
      <c r="A23" s="97"/>
      <c r="B23" s="196"/>
      <c r="C23" s="196"/>
      <c r="D23" s="200"/>
      <c r="E23" s="206"/>
      <c r="F23" s="200"/>
      <c r="G23" s="196"/>
      <c r="H23" s="123" t="s">
        <v>219</v>
      </c>
      <c r="I23" s="114" t="e">
        <f>_xlfn.STDEV.S('METCM (Meteomatics)'!J175)</f>
        <v>#DIV/0!</v>
      </c>
      <c r="J23" s="136" t="e">
        <f>_xlfn.STDEV.S('METCM (Meteomatics)'!K175)</f>
        <v>#DIV/0!</v>
      </c>
      <c r="K23" s="114" t="e">
        <f>_xlfn.STDEV.S('METCM (Meteomatics)'!J171)</f>
        <v>#DIV/0!</v>
      </c>
      <c r="L23" s="136" t="e">
        <f>_xlfn.STDEV.S('METCM (Meteomatics)'!K171)</f>
        <v>#DIV/0!</v>
      </c>
      <c r="M23" s="114" t="e">
        <f>_xlfn.STDEV.S('METCM (Meteomatics)'!J178)</f>
        <v>#DIV/0!</v>
      </c>
      <c r="N23" s="103" t="e">
        <f>_xlfn.STDEV.S('METCM (Meteomatics)'!K178)</f>
        <v>#DIV/0!</v>
      </c>
    </row>
    <row r="24" spans="1:14">
      <c r="A24" s="97"/>
      <c r="B24" s="196"/>
      <c r="C24" s="196"/>
      <c r="D24" s="200"/>
      <c r="E24" s="206"/>
      <c r="F24" s="200"/>
      <c r="G24" s="196"/>
      <c r="H24" s="123" t="s">
        <v>220</v>
      </c>
      <c r="I24" s="97">
        <f>MEDIAN('METCM (Meteomatics)'!J175)</f>
        <v>269.05437699999999</v>
      </c>
      <c r="J24" s="135">
        <f>MEDIAN('METCM (Meteomatics)'!K175)</f>
        <v>36.587891999999997</v>
      </c>
      <c r="K24" s="97">
        <f>MEDIAN('METCM (Meteomatics)'!J171)</f>
        <v>251.67016599999999</v>
      </c>
      <c r="L24" s="135">
        <f>MEDIAN('METCM (Meteomatics)'!K171)</f>
        <v>37.273778999999998</v>
      </c>
      <c r="M24" s="97">
        <f>MEDIAN('METCM (Meteomatics)'!J178)</f>
        <v>280.92531600000001</v>
      </c>
      <c r="N24" s="90">
        <f>MEDIAN('METCM (Meteomatics)'!K178)</f>
        <v>36.845505000000003</v>
      </c>
    </row>
    <row r="25" spans="1:14">
      <c r="A25" s="97"/>
      <c r="B25" s="196"/>
      <c r="C25" s="196"/>
      <c r="D25" s="200"/>
      <c r="E25" s="206"/>
      <c r="F25" s="200"/>
      <c r="G25" s="196"/>
      <c r="H25" s="123" t="s">
        <v>221</v>
      </c>
      <c r="I25" s="97">
        <f>_xlfn.QUARTILE.INC(('METCM (Meteomatics)'!J175),1)</f>
        <v>269.05437699999999</v>
      </c>
      <c r="J25" s="135">
        <f>_xlfn.QUARTILE.INC(('METCM (Meteomatics)'!K175),1)</f>
        <v>36.587891999999997</v>
      </c>
      <c r="K25" s="97">
        <f>_xlfn.QUARTILE.INC(('METCM (Meteomatics)'!J171),1)</f>
        <v>251.67016599999999</v>
      </c>
      <c r="L25" s="135">
        <f>_xlfn.QUARTILE.INC(('METCM (Meteomatics)'!K171),1)</f>
        <v>37.273778999999998</v>
      </c>
      <c r="M25" s="97">
        <f>_xlfn.QUARTILE.INC(('METCM (Meteomatics)'!J178),1)</f>
        <v>280.92531600000001</v>
      </c>
      <c r="N25" s="90">
        <f>_xlfn.QUARTILE.INC(('METCM (Meteomatics)'!K178),1)</f>
        <v>36.845505000000003</v>
      </c>
    </row>
    <row r="26" spans="1:14">
      <c r="A26" s="97"/>
      <c r="B26" s="196"/>
      <c r="C26" s="196"/>
      <c r="D26" s="200"/>
      <c r="E26" s="206"/>
      <c r="F26" s="200"/>
      <c r="G26" s="196"/>
      <c r="H26" s="123" t="s">
        <v>222</v>
      </c>
      <c r="I26" s="97">
        <f>_xlfn.QUARTILE.INC(('METCM (Meteomatics)'!J175),3)</f>
        <v>269.05437699999999</v>
      </c>
      <c r="J26" s="135">
        <f>_xlfn.QUARTILE.INC(('METCM (Meteomatics)'!K175),3)</f>
        <v>36.587891999999997</v>
      </c>
      <c r="K26" s="97">
        <f>_xlfn.QUARTILE.INC(('METCM (Meteomatics)'!J171),3)</f>
        <v>251.67016599999999</v>
      </c>
      <c r="L26" s="135">
        <f>_xlfn.QUARTILE.INC(('METCM (Meteomatics)'!K171),3)</f>
        <v>37.273778999999998</v>
      </c>
      <c r="M26" s="97">
        <f>_xlfn.QUARTILE.INC(('METCM (Meteomatics)'!J178),3)</f>
        <v>280.92531600000001</v>
      </c>
      <c r="N26" s="90">
        <f>_xlfn.QUARTILE.INC(('METCM (Meteomatics)'!K178),3)</f>
        <v>36.845505000000003</v>
      </c>
    </row>
    <row r="27" spans="1:14">
      <c r="A27" s="46"/>
      <c r="B27" s="196"/>
      <c r="C27" s="196"/>
      <c r="D27" s="200"/>
      <c r="E27" s="206"/>
      <c r="F27" s="200"/>
      <c r="G27" s="196"/>
      <c r="H27" s="123" t="s">
        <v>224</v>
      </c>
      <c r="I27" s="97">
        <f>I26-I25</f>
        <v>0</v>
      </c>
      <c r="J27" s="135">
        <f>J26-J25</f>
        <v>0</v>
      </c>
      <c r="K27" s="97">
        <f t="shared" ref="K27:N27" si="14">K26-K25</f>
        <v>0</v>
      </c>
      <c r="L27" s="135">
        <f t="shared" si="14"/>
        <v>0</v>
      </c>
      <c r="M27" s="97">
        <f t="shared" si="14"/>
        <v>0</v>
      </c>
      <c r="N27" s="90">
        <f t="shared" si="14"/>
        <v>0</v>
      </c>
    </row>
    <row r="28" spans="1:14">
      <c r="A28" s="46"/>
      <c r="B28" s="196"/>
      <c r="C28" s="196"/>
      <c r="D28" s="200"/>
      <c r="E28" s="206"/>
      <c r="F28" s="200"/>
      <c r="G28" s="196"/>
      <c r="H28" s="123" t="s">
        <v>225</v>
      </c>
      <c r="I28" s="115" t="e">
        <f>I22-_xlfn.CONFIDENCE.T(0.05,I23,I21)</f>
        <v>#DIV/0!</v>
      </c>
      <c r="J28" s="137" t="e">
        <f>J22-_xlfn.CONFIDENCE.T(0.05,J23,J21)</f>
        <v>#DIV/0!</v>
      </c>
      <c r="K28" s="115" t="e">
        <f t="shared" ref="K28:N28" si="15">K22-_xlfn.CONFIDENCE.T(0.05,K23,K21)</f>
        <v>#DIV/0!</v>
      </c>
      <c r="L28" s="137" t="e">
        <f t="shared" ref="L28" si="16">L22-_xlfn.CONFIDENCE.T(0.05,L23,L21)</f>
        <v>#DIV/0!</v>
      </c>
      <c r="M28" s="115" t="e">
        <f t="shared" si="15"/>
        <v>#DIV/0!</v>
      </c>
      <c r="N28" s="91" t="e">
        <f t="shared" ref="N28" si="17">N22-_xlfn.CONFIDENCE.T(0.05,N23,N21)</f>
        <v>#DIV/0!</v>
      </c>
    </row>
    <row r="29" spans="1:14">
      <c r="A29" s="47"/>
      <c r="B29" s="197"/>
      <c r="C29" s="197"/>
      <c r="D29" s="201"/>
      <c r="E29" s="207"/>
      <c r="F29" s="201"/>
      <c r="G29" s="197"/>
      <c r="H29" s="124" t="s">
        <v>226</v>
      </c>
      <c r="I29" s="116" t="e">
        <f>I22+_xlfn.CONFIDENCE.T(0.05,I23,I21)</f>
        <v>#DIV/0!</v>
      </c>
      <c r="J29" s="138" t="e">
        <f>J22+_xlfn.CONFIDENCE.T(0.05,J23,J21)</f>
        <v>#DIV/0!</v>
      </c>
      <c r="K29" s="116" t="e">
        <f t="shared" ref="K29:N29" si="18">K22+_xlfn.CONFIDENCE.T(0.05,K23,K21)</f>
        <v>#DIV/0!</v>
      </c>
      <c r="L29" s="138" t="e">
        <f t="shared" ref="L29" si="19">L22+_xlfn.CONFIDENCE.T(0.05,L23,L21)</f>
        <v>#DIV/0!</v>
      </c>
      <c r="M29" s="116" t="e">
        <f t="shared" si="18"/>
        <v>#DIV/0!</v>
      </c>
      <c r="N29" s="92" t="e">
        <f t="shared" ref="N29" si="20">N22+_xlfn.CONFIDENCE.T(0.05,N23,N21)</f>
        <v>#DIV/0!</v>
      </c>
    </row>
    <row r="30" spans="1:14">
      <c r="A30" s="83"/>
      <c r="B30" s="209" t="s">
        <v>32</v>
      </c>
      <c r="C30" s="209" t="s">
        <v>20</v>
      </c>
      <c r="D30" s="210" t="s">
        <v>18</v>
      </c>
      <c r="E30" s="210" t="s">
        <v>40</v>
      </c>
      <c r="F30" s="211" t="s">
        <v>227</v>
      </c>
      <c r="G30" s="209">
        <v>5000</v>
      </c>
      <c r="H30" s="125" t="s">
        <v>217</v>
      </c>
      <c r="I30" s="117">
        <f>COUNT('METCM (Meteomatics)'!J129,'METCM (Meteomatics)'!J138,'METCM (Meteomatics)'!J147,'METCM (Meteomatics)'!J156)</f>
        <v>4</v>
      </c>
      <c r="J30" s="139">
        <f>COUNT('METCM (Meteomatics)'!K129,'METCM (Meteomatics)'!K138,'METCM (Meteomatics)'!K147,'METCM (Meteomatics)'!K156)</f>
        <v>4</v>
      </c>
      <c r="K30" s="117">
        <f>COUNT('METCM (Meteomatics)'!J130,'METCM (Meteomatics)'!J139,'METCM (Meteomatics)'!J148,'METCM (Meteomatics)'!J157)</f>
        <v>4</v>
      </c>
      <c r="L30" s="139">
        <f>COUNT('METCM (Meteomatics)'!K130,'METCM (Meteomatics)'!K139,'METCM (Meteomatics)'!K148,'METCM (Meteomatics)'!K157)</f>
        <v>4</v>
      </c>
      <c r="M30" s="117">
        <f>COUNT('METCM (Meteomatics)'!J131,'METCM (Meteomatics)'!J140,'METCM (Meteomatics)'!J149,'METCM (Meteomatics)'!J158)</f>
        <v>4</v>
      </c>
      <c r="N30" s="94">
        <f>COUNT('METCM (Meteomatics)'!K131,'METCM (Meteomatics)'!K140,'METCM (Meteomatics)'!K149,'METCM (Meteomatics)'!K158)</f>
        <v>4</v>
      </c>
    </row>
    <row r="31" spans="1:14">
      <c r="A31" s="62"/>
      <c r="B31" s="196"/>
      <c r="C31" s="196"/>
      <c r="D31" s="199"/>
      <c r="E31" s="199"/>
      <c r="F31" s="200"/>
      <c r="G31" s="196"/>
      <c r="H31" s="123" t="s">
        <v>218</v>
      </c>
      <c r="I31" s="109">
        <f>AVERAGE('METCM (Meteomatics)'!J129,'METCM (Meteomatics)'!J138,'METCM (Meteomatics)'!J147,'METCM (Meteomatics)'!J156)</f>
        <v>64.062204250000008</v>
      </c>
      <c r="J31" s="128">
        <f>AVERAGE('METCM (Meteomatics)'!K129,'METCM (Meteomatics)'!K138,'METCM (Meteomatics)'!K147,'METCM (Meteomatics)'!K156)</f>
        <v>20.733348750000001</v>
      </c>
      <c r="K31" s="109">
        <f>AVERAGE('METCM (Meteomatics)'!J130,'METCM (Meteomatics)'!J139,'METCM (Meteomatics)'!J148,'METCM (Meteomatics)'!J157)</f>
        <v>65.105204999999998</v>
      </c>
      <c r="L31" s="128">
        <f>AVERAGE('METCM (Meteomatics)'!K130,'METCM (Meteomatics)'!K139,'METCM (Meteomatics)'!K148,'METCM (Meteomatics)'!K157)</f>
        <v>20.737189000000001</v>
      </c>
      <c r="M31" s="109">
        <f>AVERAGE('METCM (Meteomatics)'!J131,'METCM (Meteomatics)'!J140,'METCM (Meteomatics)'!J149,'METCM (Meteomatics)'!J158)</f>
        <v>68.31008700000001</v>
      </c>
      <c r="N31" s="99">
        <f>AVERAGE('METCM (Meteomatics)'!K131,'METCM (Meteomatics)'!K140,'METCM (Meteomatics)'!K149,'METCM (Meteomatics)'!K158)</f>
        <v>20.749640250000002</v>
      </c>
    </row>
    <row r="32" spans="1:14">
      <c r="A32" s="62"/>
      <c r="B32" s="196"/>
      <c r="C32" s="196"/>
      <c r="D32" s="199"/>
      <c r="E32" s="199"/>
      <c r="F32" s="200"/>
      <c r="G32" s="196"/>
      <c r="H32" s="123" t="s">
        <v>219</v>
      </c>
      <c r="I32" s="109">
        <f>_xlfn.STDEV.S('METCM (Meteomatics)'!J129,'METCM (Meteomatics)'!J138,'METCM (Meteomatics)'!J147,'METCM (Meteomatics)'!J156)</f>
        <v>21.755507291080367</v>
      </c>
      <c r="J32" s="128">
        <f>_xlfn.STDEV.S('METCM (Meteomatics)'!K129,'METCM (Meteomatics)'!K138,'METCM (Meteomatics)'!K147,'METCM (Meteomatics)'!K156)</f>
        <v>0.1452461765357359</v>
      </c>
      <c r="K32" s="109">
        <f>_xlfn.STDEV.S('METCM (Meteomatics)'!J130,'METCM (Meteomatics)'!J139,'METCM (Meteomatics)'!J148,'METCM (Meteomatics)'!J157)</f>
        <v>21.084428102780048</v>
      </c>
      <c r="L32" s="128">
        <f>_xlfn.STDEV.S('METCM (Meteomatics)'!K130,'METCM (Meteomatics)'!K139,'METCM (Meteomatics)'!K148,'METCM (Meteomatics)'!K157)</f>
        <v>0.14281811841406197</v>
      </c>
      <c r="M32" s="109">
        <f>_xlfn.STDEV.S('METCM (Meteomatics)'!J131,'METCM (Meteomatics)'!J140,'METCM (Meteomatics)'!J149,'METCM (Meteomatics)'!J158)</f>
        <v>19.289937280966736</v>
      </c>
      <c r="N32" s="99">
        <f>_xlfn.STDEV.S('METCM (Meteomatics)'!K131,'METCM (Meteomatics)'!K140,'METCM (Meteomatics)'!K149,'METCM (Meteomatics)'!K158)</f>
        <v>0.13574037679918025</v>
      </c>
    </row>
    <row r="33" spans="1:14">
      <c r="A33" s="62"/>
      <c r="B33" s="196"/>
      <c r="C33" s="196"/>
      <c r="D33" s="199"/>
      <c r="E33" s="199"/>
      <c r="F33" s="200"/>
      <c r="G33" s="196"/>
      <c r="H33" s="123" t="s">
        <v>220</v>
      </c>
      <c r="I33" s="118">
        <f>MEDIAN('METCM (Meteomatics)'!J129,'METCM (Meteomatics)'!J138,'METCM (Meteomatics)'!J147,'METCM (Meteomatics)'!J156)</f>
        <v>54.298051000000001</v>
      </c>
      <c r="J33" s="131">
        <f>MEDIAN('METCM (Meteomatics)'!K129,'METCM (Meteomatics)'!K138,'METCM (Meteomatics)'!K147,'METCM (Meteomatics)'!K156)</f>
        <v>20.676596</v>
      </c>
      <c r="K33" s="118">
        <f>MEDIAN('METCM (Meteomatics)'!J130,'METCM (Meteomatics)'!J139,'METCM (Meteomatics)'!J148,'METCM (Meteomatics)'!J157)</f>
        <v>55.1877225</v>
      </c>
      <c r="L33" s="131">
        <f>MEDIAN('METCM (Meteomatics)'!K130,'METCM (Meteomatics)'!K139,'METCM (Meteomatics)'!K148,'METCM (Meteomatics)'!K157)</f>
        <v>20.680175500000001</v>
      </c>
      <c r="M33" s="118">
        <f>MEDIAN('METCM (Meteomatics)'!J131,'METCM (Meteomatics)'!J140,'METCM (Meteomatics)'!J149,'METCM (Meteomatics)'!J158)</f>
        <v>59.084114</v>
      </c>
      <c r="N33" s="86">
        <f>MEDIAN('METCM (Meteomatics)'!K131,'METCM (Meteomatics)'!K140,'METCM (Meteomatics)'!K149,'METCM (Meteomatics)'!K158)</f>
        <v>20.693234</v>
      </c>
    </row>
    <row r="34" spans="1:14">
      <c r="A34" s="62"/>
      <c r="B34" s="196"/>
      <c r="C34" s="196"/>
      <c r="D34" s="199"/>
      <c r="E34" s="199"/>
      <c r="F34" s="200"/>
      <c r="G34" s="196"/>
      <c r="H34" s="123" t="s">
        <v>221</v>
      </c>
      <c r="I34" s="119">
        <f ca="1">_xlfn.QUARTILE.INC(('METCM (Meteomatics)'!J129,'METCM (Meteomatics)'!J138,'METCM (Meteomatics)'!J147,'METCM (Meteomatics)'!J156),1)</f>
        <v>51.744756500000001</v>
      </c>
      <c r="J34" s="140">
        <f ca="1">_xlfn.QUARTILE.INC(('METCM (Meteomatics)'!K129,'METCM (Meteomatics)'!K138,'METCM (Meteomatics)'!K147,'METCM (Meteomatics)'!K156),1)</f>
        <v>20.638861499999997</v>
      </c>
      <c r="K34" s="119">
        <f ca="1">_xlfn.QUARTILE.INC(('METCM (Meteomatics)'!J130,'METCM (Meteomatics)'!J139,'METCM (Meteomatics)'!J148,'METCM (Meteomatics)'!J157),1)</f>
        <v>53.459352749999994</v>
      </c>
      <c r="L34" s="140">
        <f ca="1">_xlfn.QUARTILE.INC(('METCM (Meteomatics)'!K130,'METCM (Meteomatics)'!K139,'METCM (Meteomatics)'!K148,'METCM (Meteomatics)'!K157),1)</f>
        <v>20.644763750000003</v>
      </c>
      <c r="M34" s="119">
        <f ca="1">_xlfn.QUARTILE.INC(('METCM (Meteomatics)'!J131,'METCM (Meteomatics)'!J140,'METCM (Meteomatics)'!J149,'METCM (Meteomatics)'!J158),1)</f>
        <v>58.213811999999997</v>
      </c>
      <c r="N34" s="87">
        <f ca="1">_xlfn.QUARTILE.INC(('METCM (Meteomatics)'!K131,'METCM (Meteomatics)'!K140,'METCM (Meteomatics)'!K149,'METCM (Meteomatics)'!K158),1)</f>
        <v>20.66432125</v>
      </c>
    </row>
    <row r="35" spans="1:14">
      <c r="A35" s="62"/>
      <c r="B35" s="196"/>
      <c r="C35" s="196"/>
      <c r="D35" s="199"/>
      <c r="E35" s="199"/>
      <c r="F35" s="200"/>
      <c r="G35" s="196"/>
      <c r="H35" s="123" t="s">
        <v>222</v>
      </c>
      <c r="I35" s="62">
        <f ca="1">_xlfn.QUARTILE.INC(('METCM (Meteomatics)'!J129,'METCM (Meteomatics)'!J138,'METCM (Meteomatics)'!J147,'METCM (Meteomatics)'!J156),3)</f>
        <v>66.61549875</v>
      </c>
      <c r="J35" s="130">
        <f ca="1">_xlfn.QUARTILE.INC(('METCM (Meteomatics)'!K129,'METCM (Meteomatics)'!K138,'METCM (Meteomatics)'!K147,'METCM (Meteomatics)'!K156),3)</f>
        <v>20.77108325</v>
      </c>
      <c r="K35" s="62">
        <f ca="1">_xlfn.QUARTILE.INC(('METCM (Meteomatics)'!J130,'METCM (Meteomatics)'!J139,'METCM (Meteomatics)'!J148,'METCM (Meteomatics)'!J157),3)</f>
        <v>66.833574749999997</v>
      </c>
      <c r="L35" s="130">
        <f ca="1">_xlfn.QUARTILE.INC(('METCM (Meteomatics)'!K130,'METCM (Meteomatics)'!K139,'METCM (Meteomatics)'!K148,'METCM (Meteomatics)'!K157),3)</f>
        <v>20.772600749999999</v>
      </c>
      <c r="M35" s="62">
        <f ca="1">_xlfn.QUARTILE.INC(('METCM (Meteomatics)'!J131,'METCM (Meteomatics)'!J140,'METCM (Meteomatics)'!J149,'METCM (Meteomatics)'!J158),3)</f>
        <v>69.180389000000005</v>
      </c>
      <c r="N35" s="96">
        <f ca="1">_xlfn.QUARTILE.INC(('METCM (Meteomatics)'!K131,'METCM (Meteomatics)'!K140,'METCM (Meteomatics)'!K149,'METCM (Meteomatics)'!K158),3)</f>
        <v>20.778552999999999</v>
      </c>
    </row>
    <row r="36" spans="1:14">
      <c r="A36" s="62"/>
      <c r="B36" s="196"/>
      <c r="C36" s="196"/>
      <c r="D36" s="200"/>
      <c r="E36" s="199"/>
      <c r="F36" s="200"/>
      <c r="G36" s="196"/>
      <c r="H36" s="123" t="s">
        <v>224</v>
      </c>
      <c r="I36" s="118">
        <f ca="1">I35-I34</f>
        <v>14.870742249999999</v>
      </c>
      <c r="J36" s="131">
        <f ca="1">J35-J34</f>
        <v>0.13222175000000291</v>
      </c>
      <c r="K36" s="118">
        <f t="shared" ref="K36:N36" ca="1" si="21">K35-K34</f>
        <v>13.374222000000003</v>
      </c>
      <c r="L36" s="131">
        <f t="shared" ca="1" si="21"/>
        <v>0.12783699999999598</v>
      </c>
      <c r="M36" s="118">
        <f t="shared" ca="1" si="21"/>
        <v>10.966577000000008</v>
      </c>
      <c r="N36" s="86">
        <f t="shared" ca="1" si="21"/>
        <v>0.1142317499999983</v>
      </c>
    </row>
    <row r="37" spans="1:14">
      <c r="A37" s="62"/>
      <c r="B37" s="196"/>
      <c r="C37" s="196"/>
      <c r="D37" s="200"/>
      <c r="E37" s="199"/>
      <c r="F37" s="200"/>
      <c r="G37" s="196"/>
      <c r="H37" s="123" t="s">
        <v>225</v>
      </c>
      <c r="I37" s="118">
        <f>I31-_xlfn.CONFIDENCE.T(0.05,I32,I30)</f>
        <v>29.444337350964254</v>
      </c>
      <c r="J37" s="131">
        <f>J31-_xlfn.CONFIDENCE.T(0.05,J32,J30)</f>
        <v>20.502229671063631</v>
      </c>
      <c r="K37" s="118">
        <f t="shared" ref="K37:N37" si="22">K31-_xlfn.CONFIDENCE.T(0.05,K32,K30)</f>
        <v>31.555174842643815</v>
      </c>
      <c r="L37" s="131">
        <f t="shared" ref="L37" si="23">L31-_xlfn.CONFIDENCE.T(0.05,L32,L30)</f>
        <v>20.509933503362799</v>
      </c>
      <c r="M37" s="118">
        <f t="shared" si="22"/>
        <v>37.615492185516473</v>
      </c>
      <c r="N37" s="86">
        <f t="shared" ref="N37" si="24">N31-_xlfn.CONFIDENCE.T(0.05,N32,N30)</f>
        <v>20.533647019688818</v>
      </c>
    </row>
    <row r="38" spans="1:14">
      <c r="A38" s="62"/>
      <c r="B38" s="196"/>
      <c r="C38" s="196"/>
      <c r="D38" s="200"/>
      <c r="E38" s="199"/>
      <c r="F38" s="200"/>
      <c r="G38" s="196">
        <v>3000</v>
      </c>
      <c r="H38" s="123" t="s">
        <v>226</v>
      </c>
      <c r="I38" s="118">
        <f>I31+_xlfn.CONFIDENCE.T(0.05,I32,I30)</f>
        <v>98.680071149035768</v>
      </c>
      <c r="J38" s="131">
        <f>J31+_xlfn.CONFIDENCE.T(0.05,J32,J30)</f>
        <v>20.964467828936371</v>
      </c>
      <c r="K38" s="118">
        <f t="shared" ref="K38:N38" si="25">K31+_xlfn.CONFIDENCE.T(0.05,K32,K30)</f>
        <v>98.655235157356174</v>
      </c>
      <c r="L38" s="131">
        <f t="shared" ref="L38" si="26">L31+_xlfn.CONFIDENCE.T(0.05,L32,L30)</f>
        <v>20.964444496637203</v>
      </c>
      <c r="M38" s="118">
        <f t="shared" si="25"/>
        <v>99.004681814483547</v>
      </c>
      <c r="N38" s="86">
        <f t="shared" ref="N38" si="27">N31+_xlfn.CONFIDENCE.T(0.05,N32,N30)</f>
        <v>20.965633480311187</v>
      </c>
    </row>
    <row r="39" spans="1:14">
      <c r="A39" s="63"/>
      <c r="B39" s="196"/>
      <c r="C39" s="196"/>
      <c r="D39" s="200"/>
      <c r="E39" s="204" t="s">
        <v>42</v>
      </c>
      <c r="F39" s="200"/>
      <c r="G39" s="196"/>
      <c r="H39" s="123" t="s">
        <v>217</v>
      </c>
      <c r="I39" s="111">
        <f>COUNT('METCM (Meteomatics)'!J132,'METCM (Meteomatics)'!J141,'METCM (Meteomatics)'!J150,'METCM (Meteomatics)'!J159)</f>
        <v>4</v>
      </c>
      <c r="J39" s="132">
        <f>COUNT('METCM (Meteomatics)'!K132,'METCM (Meteomatics)'!K141,'METCM (Meteomatics)'!K150,'METCM (Meteomatics)'!K159)</f>
        <v>4</v>
      </c>
      <c r="K39" s="111">
        <f>COUNT('METCM (Meteomatics)'!J133,'METCM (Meteomatics)'!J142,'METCM (Meteomatics)'!J151,'METCM (Meteomatics)'!J160)</f>
        <v>4</v>
      </c>
      <c r="L39" s="132">
        <f>COUNT('METCM (Meteomatics)'!K133,'METCM (Meteomatics)'!K142,'METCM (Meteomatics)'!K151,'METCM (Meteomatics)'!K160)</f>
        <v>4</v>
      </c>
      <c r="M39" s="111">
        <f>COUNT('METCM (Meteomatics)'!J134,'METCM (Meteomatics)'!J143,'METCM (Meteomatics)'!J152,'METCM (Meteomatics)'!J161)</f>
        <v>4</v>
      </c>
      <c r="N39" s="88">
        <f>COUNT('METCM (Meteomatics)'!K134,'METCM (Meteomatics)'!K143,'METCM (Meteomatics)'!K152,'METCM (Meteomatics)'!K161)</f>
        <v>4</v>
      </c>
    </row>
    <row r="40" spans="1:14">
      <c r="A40" s="63"/>
      <c r="B40" s="196"/>
      <c r="C40" s="196"/>
      <c r="D40" s="200"/>
      <c r="E40" s="204"/>
      <c r="F40" s="200"/>
      <c r="G40" s="196"/>
      <c r="H40" s="123" t="s">
        <v>218</v>
      </c>
      <c r="I40" s="112">
        <f>AVERAGE('METCM (Meteomatics)'!J132,'METCM (Meteomatics)'!J141,'METCM (Meteomatics)'!J150,'METCM (Meteomatics)'!J159)</f>
        <v>182.55670824999999</v>
      </c>
      <c r="J40" s="133">
        <f>AVERAGE('METCM (Meteomatics)'!K132,'METCM (Meteomatics)'!K141,'METCM (Meteomatics)'!K150,'METCM (Meteomatics)'!K159)</f>
        <v>28.084126000000001</v>
      </c>
      <c r="K40" s="112">
        <f>AVERAGE('METCM (Meteomatics)'!J133,'METCM (Meteomatics)'!J142,'METCM (Meteomatics)'!J151,'METCM (Meteomatics)'!J160)</f>
        <v>187.33711949999997</v>
      </c>
      <c r="L40" s="133">
        <f>AVERAGE('METCM (Meteomatics)'!K133,'METCM (Meteomatics)'!K142,'METCM (Meteomatics)'!K151,'METCM (Meteomatics)'!K160)</f>
        <v>28.118151749999999</v>
      </c>
      <c r="M40" s="112">
        <f>AVERAGE('METCM (Meteomatics)'!J134,'METCM (Meteomatics)'!J143,'METCM (Meteomatics)'!J152,'METCM (Meteomatics)'!J161)</f>
        <v>202.2321005</v>
      </c>
      <c r="N40" s="101">
        <f>AVERAGE('METCM (Meteomatics)'!K134,'METCM (Meteomatics)'!K143,'METCM (Meteomatics)'!K152,'METCM (Meteomatics)'!K161)</f>
        <v>28.227115500000004</v>
      </c>
    </row>
    <row r="41" spans="1:14">
      <c r="A41" s="63"/>
      <c r="B41" s="196"/>
      <c r="C41" s="196"/>
      <c r="D41" s="200"/>
      <c r="E41" s="204"/>
      <c r="F41" s="200"/>
      <c r="G41" s="196"/>
      <c r="H41" s="123" t="s">
        <v>219</v>
      </c>
      <c r="I41" s="112">
        <f>_xlfn.STDEV.S('METCM (Meteomatics)'!J132,'METCM (Meteomatics)'!J141,'METCM (Meteomatics)'!J150,'METCM (Meteomatics)'!J159)</f>
        <v>160.30777075233476</v>
      </c>
      <c r="J41" s="133">
        <f>_xlfn.STDEV.S('METCM (Meteomatics)'!K132,'METCM (Meteomatics)'!K141,'METCM (Meteomatics)'!K150,'METCM (Meteomatics)'!K159)</f>
        <v>0.94447306900549954</v>
      </c>
      <c r="K41" s="112">
        <f>_xlfn.STDEV.S('METCM (Meteomatics)'!J133,'METCM (Meteomatics)'!J142,'METCM (Meteomatics)'!J151,'METCM (Meteomatics)'!J160)</f>
        <v>156.98928777992521</v>
      </c>
      <c r="L41" s="133">
        <f>_xlfn.STDEV.S('METCM (Meteomatics)'!K133,'METCM (Meteomatics)'!K142,'METCM (Meteomatics)'!K151,'METCM (Meteomatics)'!K160)</f>
        <v>0.92084418321319828</v>
      </c>
      <c r="M41" s="112">
        <f>_xlfn.STDEV.S('METCM (Meteomatics)'!J134,'METCM (Meteomatics)'!J143,'METCM (Meteomatics)'!J152,'METCM (Meteomatics)'!J161)</f>
        <v>147.6298997232513</v>
      </c>
      <c r="N41" s="101">
        <f>_xlfn.STDEV.S('METCM (Meteomatics)'!K134,'METCM (Meteomatics)'!K143,'METCM (Meteomatics)'!K152,'METCM (Meteomatics)'!K161)</f>
        <v>0.85191109082207972</v>
      </c>
    </row>
    <row r="42" spans="1:14">
      <c r="A42" s="63"/>
      <c r="B42" s="196"/>
      <c r="C42" s="196"/>
      <c r="D42" s="200"/>
      <c r="E42" s="204"/>
      <c r="F42" s="200"/>
      <c r="G42" s="196"/>
      <c r="H42" s="123" t="s">
        <v>220</v>
      </c>
      <c r="I42" s="111">
        <f>MEDIAN('METCM (Meteomatics)'!J132,'METCM (Meteomatics)'!J141,'METCM (Meteomatics)'!J150,'METCM (Meteomatics)'!J159)</f>
        <v>123.9904075</v>
      </c>
      <c r="J42" s="132">
        <f>MEDIAN('METCM (Meteomatics)'!K132,'METCM (Meteomatics)'!K141,'METCM (Meteomatics)'!K150,'METCM (Meteomatics)'!K159)</f>
        <v>27.7225325</v>
      </c>
      <c r="K42" s="111">
        <f>MEDIAN('METCM (Meteomatics)'!J133,'METCM (Meteomatics)'!J142,'METCM (Meteomatics)'!J151,'METCM (Meteomatics)'!J160)</f>
        <v>128.66036199999999</v>
      </c>
      <c r="L42" s="132">
        <f>MEDIAN('METCM (Meteomatics)'!K133,'METCM (Meteomatics)'!K142,'METCM (Meteomatics)'!K151,'METCM (Meteomatics)'!K160)</f>
        <v>27.754752</v>
      </c>
      <c r="M42" s="111">
        <f>MEDIAN('METCM (Meteomatics)'!J134,'METCM (Meteomatics)'!J143,'METCM (Meteomatics)'!J152,'METCM (Meteomatics)'!J161)</f>
        <v>144.010141</v>
      </c>
      <c r="N42" s="88">
        <f>MEDIAN('METCM (Meteomatics)'!K134,'METCM (Meteomatics)'!K143,'METCM (Meteomatics)'!K152,'METCM (Meteomatics)'!K161)</f>
        <v>27.862877000000001</v>
      </c>
    </row>
    <row r="43" spans="1:14">
      <c r="A43" s="63"/>
      <c r="B43" s="196"/>
      <c r="C43" s="196"/>
      <c r="D43" s="200"/>
      <c r="E43" s="204"/>
      <c r="F43" s="200"/>
      <c r="G43" s="196"/>
      <c r="H43" s="123" t="s">
        <v>221</v>
      </c>
      <c r="I43" s="111">
        <f ca="1">_xlfn.QUARTILE.INC(('METCM (Meteomatics)'!J132,'METCM (Meteomatics)'!J141,'METCM (Meteomatics)'!J150,'METCM (Meteomatics)'!J159),1)</f>
        <v>74.875998500000009</v>
      </c>
      <c r="J43" s="132">
        <f ca="1">_xlfn.QUARTILE.INC(('METCM (Meteomatics)'!K132,'METCM (Meteomatics)'!K141,'METCM (Meteomatics)'!K150,'METCM (Meteomatics)'!K159),1)</f>
        <v>27.473308249999999</v>
      </c>
      <c r="K43" s="111">
        <f ca="1">_xlfn.QUARTILE.INC(('METCM (Meteomatics)'!J133,'METCM (Meteomatics)'!J142,'METCM (Meteomatics)'!J151,'METCM (Meteomatics)'!J160),1)</f>
        <v>82.528968999999989</v>
      </c>
      <c r="L43" s="132">
        <f ca="1">_xlfn.QUARTILE.INC(('METCM (Meteomatics)'!K133,'METCM (Meteomatics)'!K142,'METCM (Meteomatics)'!K151,'METCM (Meteomatics)'!K160),1)</f>
        <v>27.528995500000001</v>
      </c>
      <c r="M43" s="111">
        <f ca="1">_xlfn.QUARTILE.INC(('METCM (Meteomatics)'!J134,'METCM (Meteomatics)'!J143,'METCM (Meteomatics)'!J152,'METCM (Meteomatics)'!J161),1)</f>
        <v>105.78013075</v>
      </c>
      <c r="N43" s="88">
        <f ca="1">_xlfn.QUARTILE.INC(('METCM (Meteomatics)'!K134,'METCM (Meteomatics)'!K143,'METCM (Meteomatics)'!K152,'METCM (Meteomatics)'!K161),1)</f>
        <v>27.704710250000002</v>
      </c>
    </row>
    <row r="44" spans="1:14">
      <c r="A44" s="63"/>
      <c r="B44" s="196"/>
      <c r="C44" s="196"/>
      <c r="D44" s="200"/>
      <c r="E44" s="204"/>
      <c r="F44" s="200"/>
      <c r="G44" s="196"/>
      <c r="H44" s="123" t="s">
        <v>222</v>
      </c>
      <c r="I44" s="113">
        <f ca="1">_xlfn.QUARTILE.INC(('METCM (Meteomatics)'!J132,'METCM (Meteomatics)'!J141,'METCM (Meteomatics)'!J150,'METCM (Meteomatics)'!J159),3)</f>
        <v>231.67111725000001</v>
      </c>
      <c r="J44" s="134">
        <f ca="1">_xlfn.QUARTILE.INC(('METCM (Meteomatics)'!K132,'METCM (Meteomatics)'!K141,'METCM (Meteomatics)'!K150,'METCM (Meteomatics)'!K159),3)</f>
        <v>28.333350249999999</v>
      </c>
      <c r="K44" s="113">
        <f ca="1">_xlfn.QUARTILE.INC(('METCM (Meteomatics)'!J133,'METCM (Meteomatics)'!J142,'METCM (Meteomatics)'!J151,'METCM (Meteomatics)'!J160),3)</f>
        <v>233.46851249999997</v>
      </c>
      <c r="L44" s="134">
        <f ca="1">_xlfn.QUARTILE.INC(('METCM (Meteomatics)'!K133,'METCM (Meteomatics)'!K142,'METCM (Meteomatics)'!K151,'METCM (Meteomatics)'!K160),3)</f>
        <v>28.343908249999998</v>
      </c>
      <c r="M44" s="113">
        <f ca="1">_xlfn.QUARTILE.INC(('METCM (Meteomatics)'!J134,'METCM (Meteomatics)'!J143,'METCM (Meteomatics)'!J152,'METCM (Meteomatics)'!J161),3)</f>
        <v>240.46211074999999</v>
      </c>
      <c r="N44" s="89">
        <f ca="1">_xlfn.QUARTILE.INC(('METCM (Meteomatics)'!K134,'METCM (Meteomatics)'!K143,'METCM (Meteomatics)'!K152,'METCM (Meteomatics)'!K161),3)</f>
        <v>28.385282250000003</v>
      </c>
    </row>
    <row r="45" spans="1:14">
      <c r="A45" s="63"/>
      <c r="B45" s="196"/>
      <c r="C45" s="196"/>
      <c r="D45" s="200"/>
      <c r="E45" s="204"/>
      <c r="F45" s="200"/>
      <c r="G45" s="196"/>
      <c r="H45" s="123" t="s">
        <v>224</v>
      </c>
      <c r="I45" s="113">
        <f ca="1">I44-I43</f>
        <v>156.79511875</v>
      </c>
      <c r="J45" s="134">
        <f ca="1">J44-J43</f>
        <v>0.86004199999999997</v>
      </c>
      <c r="K45" s="113">
        <f t="shared" ref="K45:N45" ca="1" si="28">K44-K43</f>
        <v>150.93954349999998</v>
      </c>
      <c r="L45" s="134">
        <f t="shared" ca="1" si="28"/>
        <v>0.81491274999999774</v>
      </c>
      <c r="M45" s="113">
        <f t="shared" ca="1" si="28"/>
        <v>134.68198000000001</v>
      </c>
      <c r="N45" s="89">
        <f t="shared" ca="1" si="28"/>
        <v>0.68057200000000151</v>
      </c>
    </row>
    <row r="46" spans="1:14">
      <c r="A46" s="63"/>
      <c r="B46" s="196"/>
      <c r="C46" s="196"/>
      <c r="D46" s="200"/>
      <c r="E46" s="204"/>
      <c r="F46" s="200"/>
      <c r="G46" s="196"/>
      <c r="H46" s="123" t="s">
        <v>225</v>
      </c>
      <c r="I46" s="113">
        <f>I40-_xlfn.CONFIDENCE.T(0.05,I41,I39)</f>
        <v>-72.528728119517808</v>
      </c>
      <c r="J46" s="134">
        <f>J40-_xlfn.CONFIDENCE.T(0.05,J41,J39)</f>
        <v>26.581258585551744</v>
      </c>
      <c r="K46" s="113">
        <f t="shared" ref="K46:N46" si="29">K40-_xlfn.CONFIDENCE.T(0.05,K41,K39)</f>
        <v>-62.467869932171993</v>
      </c>
      <c r="L46" s="134">
        <f t="shared" ref="L46" si="30">L40-_xlfn.CONFIDENCE.T(0.05,L41,L39)</f>
        <v>26.652883165695581</v>
      </c>
      <c r="M46" s="113">
        <f t="shared" si="29"/>
        <v>-32.680013961832771</v>
      </c>
      <c r="N46" s="89">
        <f t="shared" ref="N46" si="31">N40-_xlfn.CONFIDENCE.T(0.05,N41,N39)</f>
        <v>26.871534848291532</v>
      </c>
    </row>
    <row r="47" spans="1:14">
      <c r="A47" s="63"/>
      <c r="B47" s="196"/>
      <c r="C47" s="196"/>
      <c r="D47" s="200"/>
      <c r="E47" s="204"/>
      <c r="F47" s="200"/>
      <c r="G47" s="196"/>
      <c r="H47" s="123" t="s">
        <v>226</v>
      </c>
      <c r="I47" s="113">
        <f>I40+_xlfn.CONFIDENCE.T(0.05,I41,I39)</f>
        <v>437.64214461951781</v>
      </c>
      <c r="J47" s="134">
        <f>J40+_xlfn.CONFIDENCE.T(0.05,J41,J39)</f>
        <v>29.586993414448258</v>
      </c>
      <c r="K47" s="113">
        <f t="shared" ref="K47:N47" si="32">K40+_xlfn.CONFIDENCE.T(0.05,K41,K39)</f>
        <v>437.14210893217194</v>
      </c>
      <c r="L47" s="134">
        <f t="shared" ref="L47" si="33">L40+_xlfn.CONFIDENCE.T(0.05,L41,L39)</f>
        <v>29.583420334304417</v>
      </c>
      <c r="M47" s="113">
        <f t="shared" si="32"/>
        <v>437.14421496183274</v>
      </c>
      <c r="N47" s="89">
        <f t="shared" ref="N47" si="34">N40+_xlfn.CONFIDENCE.T(0.05,N41,N39)</f>
        <v>29.582696151708475</v>
      </c>
    </row>
    <row r="48" spans="1:14">
      <c r="A48" s="46"/>
      <c r="B48" s="196"/>
      <c r="C48" s="196"/>
      <c r="D48" s="200"/>
      <c r="E48" s="206" t="s">
        <v>47</v>
      </c>
      <c r="F48" s="200"/>
      <c r="G48" s="196"/>
      <c r="H48" s="123" t="s">
        <v>217</v>
      </c>
      <c r="I48" s="97">
        <f>COUNT('METCM (Meteomatics)'!J135,'METCM (Meteomatics)'!J144,'METCM (Meteomatics)'!J153,'METCM (Meteomatics)'!J162)</f>
        <v>4</v>
      </c>
      <c r="J48" s="135">
        <f>COUNT('METCM (Meteomatics)'!K135,'METCM (Meteomatics)'!K144,'METCM (Meteomatics)'!K153,'METCM (Meteomatics)'!K162)</f>
        <v>4</v>
      </c>
      <c r="K48" s="97">
        <f>COUNT('METCM (Meteomatics)'!J136,'METCM (Meteomatics)'!J145,'METCM (Meteomatics)'!J154,'METCM (Meteomatics)'!J163)</f>
        <v>4</v>
      </c>
      <c r="L48" s="135">
        <f>COUNT('METCM (Meteomatics)'!K136,'METCM (Meteomatics)'!K145,'METCM (Meteomatics)'!K154,'METCM (Meteomatics)'!K163)</f>
        <v>4</v>
      </c>
      <c r="M48" s="97">
        <f>COUNT('METCM (Meteomatics)'!J137,'METCM (Meteomatics)'!J146,'METCM (Meteomatics)'!J155,'METCM (Meteomatics)'!J164)</f>
        <v>4</v>
      </c>
      <c r="N48" s="90">
        <f>COUNT('METCM (Meteomatics)'!K137,'METCM (Meteomatics)'!K146,'METCM (Meteomatics)'!K155,'METCM (Meteomatics)'!K164)</f>
        <v>4</v>
      </c>
    </row>
    <row r="49" spans="1:16">
      <c r="A49" s="46"/>
      <c r="B49" s="196"/>
      <c r="C49" s="196"/>
      <c r="D49" s="200"/>
      <c r="E49" s="206"/>
      <c r="F49" s="200"/>
      <c r="G49" s="196"/>
      <c r="H49" s="123" t="s">
        <v>218</v>
      </c>
      <c r="I49" s="114">
        <f>AVERAGE('METCM (Meteomatics)'!J135,'METCM (Meteomatics)'!J144,'METCM (Meteomatics)'!J153,'METCM (Meteomatics)'!J162)</f>
        <v>298.61461674999998</v>
      </c>
      <c r="J49" s="136">
        <f>AVERAGE('METCM (Meteomatics)'!K135,'METCM (Meteomatics)'!K144,'METCM (Meteomatics)'!K153,'METCM (Meteomatics)'!K162)</f>
        <v>36.723410000000001</v>
      </c>
      <c r="K49" s="114">
        <f>AVERAGE('METCM (Meteomatics)'!J136,'METCM (Meteomatics)'!J145,'METCM (Meteomatics)'!J154,'METCM (Meteomatics)'!J163)</f>
        <v>306.96371599999998</v>
      </c>
      <c r="L49" s="136">
        <f>AVERAGE('METCM (Meteomatics)'!K136,'METCM (Meteomatics)'!K145,'METCM (Meteomatics)'!K154,'METCM (Meteomatics)'!K163)</f>
        <v>36.780874249999997</v>
      </c>
      <c r="M49" s="114">
        <f>AVERAGE('METCM (Meteomatics)'!J137,'METCM (Meteomatics)'!J146,'METCM (Meteomatics)'!J155,'METCM (Meteomatics)'!J164)</f>
        <v>332.62031525000003</v>
      </c>
      <c r="N49" s="103">
        <f>AVERAGE('METCM (Meteomatics)'!K137,'METCM (Meteomatics)'!K146,'METCM (Meteomatics)'!K155,'METCM (Meteomatics)'!K164)</f>
        <v>36.966951999999999</v>
      </c>
    </row>
    <row r="50" spans="1:16">
      <c r="A50" s="46"/>
      <c r="B50" s="196"/>
      <c r="C50" s="196"/>
      <c r="D50" s="200"/>
      <c r="E50" s="206"/>
      <c r="F50" s="200"/>
      <c r="G50" s="196"/>
      <c r="H50" s="123" t="s">
        <v>219</v>
      </c>
      <c r="I50" s="114">
        <f>_xlfn.STDEV.S('METCM (Meteomatics)'!J135,'METCM (Meteomatics)'!J144,'METCM (Meteomatics)'!J153,'METCM (Meteomatics)'!J162)</f>
        <v>288.41868025441789</v>
      </c>
      <c r="J50" s="136">
        <f>_xlfn.STDEV.S('METCM (Meteomatics)'!K135,'METCM (Meteomatics)'!K144,'METCM (Meteomatics)'!K153,'METCM (Meteomatics)'!K162)</f>
        <v>2.1163502279775601</v>
      </c>
      <c r="K50" s="114">
        <f>_xlfn.STDEV.S('METCM (Meteomatics)'!J136,'METCM (Meteomatics)'!J145,'METCM (Meteomatics)'!J154,'METCM (Meteomatics)'!J163)</f>
        <v>282.51407682991032</v>
      </c>
      <c r="L50" s="136">
        <f>_xlfn.STDEV.S('METCM (Meteomatics)'!K136,'METCM (Meteomatics)'!K145,'METCM (Meteomatics)'!K154,'METCM (Meteomatics)'!K163)</f>
        <v>2.0795087010529487</v>
      </c>
      <c r="M50" s="114">
        <f>_xlfn.STDEV.S('METCM (Meteomatics)'!J137,'METCM (Meteomatics)'!J146,'METCM (Meteomatics)'!J155,'METCM (Meteomatics)'!J164)</f>
        <v>266.15083848104047</v>
      </c>
      <c r="N50" s="103">
        <f>_xlfn.STDEV.S('METCM (Meteomatics)'!K137,'METCM (Meteomatics)'!K146,'METCM (Meteomatics)'!K155,'METCM (Meteomatics)'!K164)</f>
        <v>1.9717034196888386</v>
      </c>
    </row>
    <row r="51" spans="1:16">
      <c r="A51" s="46"/>
      <c r="B51" s="196"/>
      <c r="C51" s="196"/>
      <c r="D51" s="200"/>
      <c r="E51" s="206"/>
      <c r="F51" s="200"/>
      <c r="G51" s="196"/>
      <c r="H51" s="123" t="s">
        <v>220</v>
      </c>
      <c r="I51" s="97">
        <f>MEDIAN('METCM (Meteomatics)'!J135,'METCM (Meteomatics)'!J144,'METCM (Meteomatics)'!J153,'METCM (Meteomatics)'!J162)</f>
        <v>198.399182</v>
      </c>
      <c r="J51" s="135">
        <f>MEDIAN('METCM (Meteomatics)'!K135,'METCM (Meteomatics)'!K144,'METCM (Meteomatics)'!K153,'METCM (Meteomatics)'!K162)</f>
        <v>35.9130495</v>
      </c>
      <c r="K51" s="97">
        <f>MEDIAN('METCM (Meteomatics)'!J136,'METCM (Meteomatics)'!J145,'METCM (Meteomatics)'!J154,'METCM (Meteomatics)'!J163)</f>
        <v>206.82360449999999</v>
      </c>
      <c r="L51" s="135">
        <f>MEDIAN('METCM (Meteomatics)'!K136,'METCM (Meteomatics)'!K145,'METCM (Meteomatics)'!K154,'METCM (Meteomatics)'!K163)</f>
        <v>35.974881499999995</v>
      </c>
      <c r="M51" s="97">
        <f>MEDIAN('METCM (Meteomatics)'!J137,'METCM (Meteomatics)'!J146,'METCM (Meteomatics)'!J155,'METCM (Meteomatics)'!J164)</f>
        <v>233.91898750000001</v>
      </c>
      <c r="N51" s="90">
        <f>MEDIAN('METCM (Meteomatics)'!K137,'METCM (Meteomatics)'!K146,'METCM (Meteomatics)'!K155,'METCM (Meteomatics)'!K164)</f>
        <v>36.182450500000002</v>
      </c>
    </row>
    <row r="52" spans="1:16">
      <c r="A52" s="46"/>
      <c r="B52" s="196"/>
      <c r="C52" s="196"/>
      <c r="D52" s="200"/>
      <c r="E52" s="206"/>
      <c r="F52" s="200"/>
      <c r="G52" s="196"/>
      <c r="H52" s="123" t="s">
        <v>221</v>
      </c>
      <c r="I52" s="97">
        <f ca="1">_xlfn.QUARTILE.INC(('METCM (Meteomatics)'!J135,'METCM (Meteomatics)'!J144,'METCM (Meteomatics)'!J153,'METCM (Meteomatics)'!J162),1)</f>
        <v>102.27428974999999</v>
      </c>
      <c r="J52" s="135">
        <f ca="1">_xlfn.QUARTILE.INC(('METCM (Meteomatics)'!K135,'METCM (Meteomatics)'!K144,'METCM (Meteomatics)'!K153,'METCM (Meteomatics)'!K162),1)</f>
        <v>35.381195750000003</v>
      </c>
      <c r="K52" s="97">
        <f ca="1">_xlfn.QUARTILE.INC(('METCM (Meteomatics)'!J136,'METCM (Meteomatics)'!J145,'METCM (Meteomatics)'!J154,'METCM (Meteomatics)'!J163),1)</f>
        <v>115.90548625</v>
      </c>
      <c r="L52" s="135">
        <f ca="1">_xlfn.QUARTILE.INC(('METCM (Meteomatics)'!K136,'METCM (Meteomatics)'!K145,'METCM (Meteomatics)'!K154,'METCM (Meteomatics)'!K163),1)</f>
        <v>35.479021250000002</v>
      </c>
      <c r="M52" s="97">
        <f ca="1">_xlfn.QUARTILE.INC(('METCM (Meteomatics)'!J137,'METCM (Meteomatics)'!J146,'METCM (Meteomatics)'!J155,'METCM (Meteomatics)'!J164),1)</f>
        <v>156.451325</v>
      </c>
      <c r="N52" s="90">
        <f ca="1">_xlfn.QUARTILE.INC(('METCM (Meteomatics)'!K137,'METCM (Meteomatics)'!K146,'METCM (Meteomatics)'!K155,'METCM (Meteomatics)'!K164),1)</f>
        <v>35.788562249999998</v>
      </c>
    </row>
    <row r="53" spans="1:16">
      <c r="A53" s="46"/>
      <c r="B53" s="196"/>
      <c r="C53" s="196"/>
      <c r="D53" s="200"/>
      <c r="E53" s="206"/>
      <c r="F53" s="200"/>
      <c r="G53" s="196"/>
      <c r="H53" s="123" t="s">
        <v>222</v>
      </c>
      <c r="I53" s="115">
        <f ca="1">_xlfn.QUARTILE.INC(('METCM (Meteomatics)'!J135,'METCM (Meteomatics)'!J144,'METCM (Meteomatics)'!J153,'METCM (Meteomatics)'!J162),3)</f>
        <v>394.739509</v>
      </c>
      <c r="J53" s="137">
        <f ca="1">_xlfn.QUARTILE.INC(('METCM (Meteomatics)'!K135,'METCM (Meteomatics)'!K144,'METCM (Meteomatics)'!K153,'METCM (Meteomatics)'!K162),3)</f>
        <v>37.255263749999997</v>
      </c>
      <c r="K53" s="115">
        <f ca="1">_xlfn.QUARTILE.INC(('METCM (Meteomatics)'!J136,'METCM (Meteomatics)'!J145,'METCM (Meteomatics)'!J154,'METCM (Meteomatics)'!J163),3)</f>
        <v>397.88183425</v>
      </c>
      <c r="L53" s="137">
        <f ca="1">_xlfn.QUARTILE.INC(('METCM (Meteomatics)'!K136,'METCM (Meteomatics)'!K145,'METCM (Meteomatics)'!K154,'METCM (Meteomatics)'!K163),3)</f>
        <v>37.276734499999996</v>
      </c>
      <c r="M53" s="115">
        <f ca="1">_xlfn.QUARTILE.INC(('METCM (Meteomatics)'!J137,'METCM (Meteomatics)'!J146,'METCM (Meteomatics)'!J155,'METCM (Meteomatics)'!J164),3)</f>
        <v>410.08797775000005</v>
      </c>
      <c r="N53" s="91">
        <f ca="1">_xlfn.QUARTILE.INC(('METCM (Meteomatics)'!K137,'METCM (Meteomatics)'!K146,'METCM (Meteomatics)'!K155,'METCM (Meteomatics)'!K164),3)</f>
        <v>37.360840249999995</v>
      </c>
    </row>
    <row r="54" spans="1:16">
      <c r="A54" s="46"/>
      <c r="B54" s="196"/>
      <c r="C54" s="196"/>
      <c r="D54" s="200"/>
      <c r="E54" s="206"/>
      <c r="F54" s="200"/>
      <c r="G54" s="196"/>
      <c r="H54" s="123" t="s">
        <v>224</v>
      </c>
      <c r="I54" s="115">
        <f ca="1">I53-I52</f>
        <v>292.46521925000002</v>
      </c>
      <c r="J54" s="137">
        <f ca="1">J53-J52</f>
        <v>1.8740679999999941</v>
      </c>
      <c r="K54" s="115">
        <f t="shared" ref="K54:N54" ca="1" si="35">K53-K52</f>
        <v>281.97634800000003</v>
      </c>
      <c r="L54" s="137">
        <f t="shared" ca="1" si="35"/>
        <v>1.7977132499999939</v>
      </c>
      <c r="M54" s="115">
        <f t="shared" ca="1" si="35"/>
        <v>253.63665275000005</v>
      </c>
      <c r="N54" s="91">
        <f t="shared" ca="1" si="35"/>
        <v>1.5722779999999972</v>
      </c>
    </row>
    <row r="55" spans="1:16">
      <c r="A55" s="46"/>
      <c r="B55" s="196"/>
      <c r="C55" s="196"/>
      <c r="D55" s="200"/>
      <c r="E55" s="206"/>
      <c r="F55" s="200"/>
      <c r="G55" s="196"/>
      <c r="H55" s="123" t="s">
        <v>225</v>
      </c>
      <c r="I55" s="115">
        <f>I49-_xlfn.CONFIDENCE.T(0.05,I50,I48)</f>
        <v>-160.32386492523784</v>
      </c>
      <c r="J55" s="137">
        <f>J49-_xlfn.CONFIDENCE.T(0.05,J50,J48)</f>
        <v>33.355824518143237</v>
      </c>
      <c r="K55" s="115">
        <f t="shared" ref="K55:N55" si="36">K49-_xlfn.CONFIDENCE.T(0.05,K50,K48)</f>
        <v>-142.57922399899303</v>
      </c>
      <c r="L55" s="137">
        <f t="shared" ref="L55" si="37">L49-_xlfn.CONFIDENCE.T(0.05,L50,L48)</f>
        <v>33.471911858764358</v>
      </c>
      <c r="M55" s="115">
        <f t="shared" si="36"/>
        <v>-90.885061036074205</v>
      </c>
      <c r="N55" s="91">
        <f t="shared" ref="N55" si="38">N49-_xlfn.CONFIDENCE.T(0.05,N50,N48)</f>
        <v>33.829531868448001</v>
      </c>
    </row>
    <row r="56" spans="1:16">
      <c r="A56" s="93"/>
      <c r="B56" s="203"/>
      <c r="C56" s="203"/>
      <c r="D56" s="205"/>
      <c r="E56" s="208"/>
      <c r="F56" s="205"/>
      <c r="G56" s="203"/>
      <c r="H56" s="142" t="s">
        <v>226</v>
      </c>
      <c r="I56" s="143">
        <f>I49+_xlfn.CONFIDENCE.T(0.05,I50,I48)</f>
        <v>757.55309842523775</v>
      </c>
      <c r="J56" s="145">
        <f>J49+_xlfn.CONFIDENCE.T(0.05,J50,J48)</f>
        <v>40.090995481856766</v>
      </c>
      <c r="K56" s="143">
        <f t="shared" ref="K56:N56" si="39">K49+_xlfn.CONFIDENCE.T(0.05,K50,K48)</f>
        <v>756.50665599899298</v>
      </c>
      <c r="L56" s="145">
        <f t="shared" ref="L56" si="40">L49+_xlfn.CONFIDENCE.T(0.05,L50,L48)</f>
        <v>40.089836641235635</v>
      </c>
      <c r="M56" s="143">
        <f t="shared" si="39"/>
        <v>756.12569153607433</v>
      </c>
      <c r="N56" s="144">
        <f t="shared" ref="N56" si="41">N49+_xlfn.CONFIDENCE.T(0.05,N50,N48)</f>
        <v>40.104372131551997</v>
      </c>
    </row>
    <row r="57" spans="1:16">
      <c r="A57" s="61"/>
      <c r="B57" s="195" t="s">
        <v>29</v>
      </c>
      <c r="C57" s="195" t="s">
        <v>11</v>
      </c>
      <c r="D57" s="198" t="s">
        <v>18</v>
      </c>
      <c r="E57" s="198" t="s">
        <v>40</v>
      </c>
      <c r="F57" s="202" t="s">
        <v>228</v>
      </c>
      <c r="G57" s="195">
        <v>3000</v>
      </c>
      <c r="H57" s="122" t="s">
        <v>217</v>
      </c>
      <c r="I57" s="107">
        <f>COUNT('METCM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14</v>
      </c>
      <c r="J57" s="127">
        <f>COUNT('METCM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14</v>
      </c>
      <c r="K57" s="107">
        <f>COUNT('METCM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14</v>
      </c>
      <c r="L57" s="127">
        <f>COUNT('METCM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14</v>
      </c>
      <c r="M57" s="107">
        <f>COUNT('METCM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14</v>
      </c>
      <c r="N57" s="85">
        <f>COUNT('METCM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14</v>
      </c>
    </row>
    <row r="58" spans="1:16">
      <c r="A58" s="62"/>
      <c r="B58" s="196"/>
      <c r="C58" s="196"/>
      <c r="D58" s="199"/>
      <c r="E58" s="199"/>
      <c r="F58" s="200"/>
      <c r="G58" s="196"/>
      <c r="H58" s="123" t="s">
        <v>218</v>
      </c>
      <c r="I58" s="109">
        <f>AVERAGE('METCM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67.676992999999996</v>
      </c>
      <c r="J58" s="128">
        <f>AVERAGE('METCM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22.531339071428569</v>
      </c>
      <c r="K58" s="109">
        <f>AVERAGE('METCM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67.945771857142873</v>
      </c>
      <c r="L58" s="128">
        <f>AVERAGE('METCM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22.554330714285719</v>
      </c>
      <c r="M58" s="109">
        <f>AVERAGE('METCM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69.003674785714296</v>
      </c>
      <c r="N58" s="99">
        <f>AVERAGE('METCM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22.644267499999994</v>
      </c>
    </row>
    <row r="59" spans="1:16">
      <c r="A59" s="62"/>
      <c r="B59" s="196"/>
      <c r="C59" s="196"/>
      <c r="D59" s="199"/>
      <c r="E59" s="199"/>
      <c r="F59" s="200"/>
      <c r="G59" s="196"/>
      <c r="H59" s="123" t="s">
        <v>219</v>
      </c>
      <c r="I59" s="109">
        <f>_xlfn.STDEV.S('METCM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10.28485830936798</v>
      </c>
      <c r="J59" s="128">
        <f>_xlfn.STDEV.S('METCM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1.79499357460399</v>
      </c>
      <c r="K59" s="109">
        <f>_xlfn.STDEV.S('METCM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10.279058271831296</v>
      </c>
      <c r="L59" s="128">
        <f>_xlfn.STDEV.S('METCM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1.8177208337131938</v>
      </c>
      <c r="M59" s="109">
        <f>_xlfn.STDEV.S('METCM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10.26177993573574</v>
      </c>
      <c r="N59" s="99">
        <f>_xlfn.STDEV.S('METCM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1.906648824813548</v>
      </c>
    </row>
    <row r="60" spans="1:16">
      <c r="A60" s="62"/>
      <c r="B60" s="196"/>
      <c r="C60" s="196"/>
      <c r="D60" s="199"/>
      <c r="E60" s="199"/>
      <c r="F60" s="200"/>
      <c r="G60" s="196"/>
      <c r="H60" s="123" t="s">
        <v>220</v>
      </c>
      <c r="I60" s="118">
        <f>MEDIAN('METCM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63.4361885</v>
      </c>
      <c r="J60" s="131">
        <f>MEDIAN('METCM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21.845205</v>
      </c>
      <c r="K60" s="118">
        <f>MEDIAN('METCM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63.719558999999997</v>
      </c>
      <c r="L60" s="131">
        <f>MEDIAN('METCM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21.860970999999999</v>
      </c>
      <c r="M60" s="118">
        <f>MEDIAN('METCM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64.834141000000002</v>
      </c>
      <c r="N60" s="86">
        <f>MEDIAN('METCM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21.922846499999999</v>
      </c>
    </row>
    <row r="61" spans="1:16">
      <c r="A61" s="62"/>
      <c r="B61" s="196"/>
      <c r="C61" s="196"/>
      <c r="D61" s="200"/>
      <c r="E61" s="199"/>
      <c r="F61" s="200"/>
      <c r="G61" s="196"/>
      <c r="H61" s="123" t="s">
        <v>221</v>
      </c>
      <c r="I61" s="119">
        <f ca="1">_xlfn.QUARTILE.INC(('METCM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(Meteomatics)'!J120),1)</f>
        <v>59.839773999999998</v>
      </c>
      <c r="J61" s="140">
        <f ca="1">_xlfn.QUARTILE.INC(('METCM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(Meteomatics)'!K120),1)</f>
        <v>21.469352750000002</v>
      </c>
      <c r="K61" s="119">
        <f ca="1">_xlfn.QUARTILE.INC(('METCM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(Meteomatics)'!J121),1)</f>
        <v>60.092148999999999</v>
      </c>
      <c r="L61" s="140">
        <f ca="1">_xlfn.QUARTILE.INC(('METCM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(Meteomatics)'!K121),1)</f>
        <v>21.482902500000002</v>
      </c>
      <c r="M61" s="119">
        <f ca="1">_xlfn.QUARTILE.INC(('METCM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(Meteomatics)'!J122),1)</f>
        <v>61.087968500000002</v>
      </c>
      <c r="N61" s="87">
        <f ca="1">_xlfn.QUARTILE.INC(('METCM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(Meteomatics)'!K122),1)</f>
        <v>21.535864</v>
      </c>
      <c r="P61" s="82"/>
    </row>
    <row r="62" spans="1:16">
      <c r="A62" s="62"/>
      <c r="B62" s="196"/>
      <c r="C62" s="196"/>
      <c r="D62" s="200"/>
      <c r="E62" s="199"/>
      <c r="F62" s="200"/>
      <c r="G62" s="196"/>
      <c r="H62" s="123" t="s">
        <v>222</v>
      </c>
      <c r="I62" s="119">
        <f ca="1">_xlfn.QUARTILE.INC(('METCM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(Meteomatics)'!J120),3)</f>
        <v>73.863378250000011</v>
      </c>
      <c r="J62" s="140">
        <f ca="1">_xlfn.QUARTILE.INC(('METCM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(Meteomatics)'!K120),3)</f>
        <v>23.410630250000001</v>
      </c>
      <c r="K62" s="119">
        <f ca="1">_xlfn.QUARTILE.INC(('METCM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(Meteomatics)'!J121),3)</f>
        <v>74.073916749999995</v>
      </c>
      <c r="L62" s="140">
        <f ca="1">_xlfn.QUARTILE.INC(('METCM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(Meteomatics)'!K121),3)</f>
        <v>23.45017125</v>
      </c>
      <c r="M62" s="119">
        <f ca="1">_xlfn.QUARTILE.INC(('METCM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(Meteomatics)'!J122),3)</f>
        <v>74.906358749999995</v>
      </c>
      <c r="N62" s="87">
        <f ca="1">_xlfn.QUARTILE.INC(('METCM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(Meteomatics)'!K122),3)</f>
        <v>23.604777499999997</v>
      </c>
    </row>
    <row r="63" spans="1:16">
      <c r="A63" s="62"/>
      <c r="B63" s="196"/>
      <c r="C63" s="196"/>
      <c r="D63" s="200"/>
      <c r="E63" s="199"/>
      <c r="F63" s="200"/>
      <c r="G63" s="196">
        <v>3000</v>
      </c>
      <c r="H63" s="123" t="s">
        <v>224</v>
      </c>
      <c r="I63" s="118">
        <f ca="1">I62-I61</f>
        <v>14.023604250000012</v>
      </c>
      <c r="J63" s="131">
        <f ca="1">J62-J61</f>
        <v>1.9412774999999982</v>
      </c>
      <c r="K63" s="118">
        <f t="shared" ref="K63:N63" ca="1" si="42">K62-K61</f>
        <v>13.981767749999996</v>
      </c>
      <c r="L63" s="131">
        <f t="shared" ca="1" si="42"/>
        <v>1.9672687499999988</v>
      </c>
      <c r="M63" s="118">
        <f t="shared" ca="1" si="42"/>
        <v>13.818390249999993</v>
      </c>
      <c r="N63" s="86">
        <f t="shared" ca="1" si="42"/>
        <v>2.0689134999999972</v>
      </c>
    </row>
    <row r="64" spans="1:16">
      <c r="A64" s="62"/>
      <c r="B64" s="196"/>
      <c r="C64" s="196"/>
      <c r="D64" s="200"/>
      <c r="E64" s="199"/>
      <c r="F64" s="200"/>
      <c r="G64" s="196"/>
      <c r="H64" s="123" t="s">
        <v>225</v>
      </c>
      <c r="I64" s="118">
        <f>I58-_xlfn.CONFIDENCE.T(0.05,I59,I57)</f>
        <v>61.738692607703307</v>
      </c>
      <c r="J64" s="131">
        <f>J58-_xlfn.CONFIDENCE.T(0.05,J59,J57)</f>
        <v>21.49494063718549</v>
      </c>
      <c r="K64" s="118">
        <f t="shared" ref="K64:N64" si="43">K58-_xlfn.CONFIDENCE.T(0.05,K59,K57)</f>
        <v>62.010820306817891</v>
      </c>
      <c r="L64" s="131">
        <f t="shared" ref="L64" si="44">L58-_xlfn.CONFIDENCE.T(0.05,L59,L57)</f>
        <v>21.504809951311955</v>
      </c>
      <c r="M64" s="118">
        <f t="shared" si="43"/>
        <v>63.078699449638272</v>
      </c>
      <c r="N64" s="86">
        <f t="shared" ref="N64" si="45">N58-_xlfn.CONFIDENCE.T(0.05,N59,N57)</f>
        <v>21.543401243626835</v>
      </c>
    </row>
    <row r="65" spans="1:14">
      <c r="A65" s="62"/>
      <c r="B65" s="196"/>
      <c r="C65" s="196"/>
      <c r="D65" s="200"/>
      <c r="E65" s="199"/>
      <c r="F65" s="200"/>
      <c r="G65" s="196"/>
      <c r="H65" s="123" t="s">
        <v>226</v>
      </c>
      <c r="I65" s="118">
        <f>I58+_xlfn.CONFIDENCE.T(0.05,I59,I57)</f>
        <v>73.615293392296678</v>
      </c>
      <c r="J65" s="131">
        <f>J58+_xlfn.CONFIDENCE.T(0.05,J59,J57)</f>
        <v>23.567737505671648</v>
      </c>
      <c r="K65" s="118">
        <f t="shared" ref="K65:N65" si="46">K58+_xlfn.CONFIDENCE.T(0.05,K59,K57)</f>
        <v>73.880723407467855</v>
      </c>
      <c r="L65" s="131">
        <f t="shared" ref="L65" si="47">L58+_xlfn.CONFIDENCE.T(0.05,L59,L57)</f>
        <v>23.603851477259482</v>
      </c>
      <c r="M65" s="118">
        <f t="shared" si="46"/>
        <v>74.928650121790312</v>
      </c>
      <c r="N65" s="86">
        <f t="shared" ref="N65" si="48">N58+_xlfn.CONFIDENCE.T(0.05,N59,N57)</f>
        <v>23.745133756373153</v>
      </c>
    </row>
    <row r="66" spans="1:14">
      <c r="A66" s="63"/>
      <c r="B66" s="196"/>
      <c r="C66" s="196"/>
      <c r="D66" s="200"/>
      <c r="E66" s="204" t="s">
        <v>42</v>
      </c>
      <c r="F66" s="200"/>
      <c r="G66" s="196"/>
      <c r="H66" s="123" t="s">
        <v>217</v>
      </c>
      <c r="I66" s="111">
        <f>COUNT('METCM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14</v>
      </c>
      <c r="J66" s="132">
        <f>COUNT('METCM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14</v>
      </c>
      <c r="K66" s="111">
        <f>COUNT('METCM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14</v>
      </c>
      <c r="L66" s="132">
        <f>COUNT('METCM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14</v>
      </c>
      <c r="M66" s="111">
        <f>COUNT('METCM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14</v>
      </c>
      <c r="N66" s="88">
        <f>COUNT('METCM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14</v>
      </c>
    </row>
    <row r="67" spans="1:14">
      <c r="A67" s="63"/>
      <c r="B67" s="196"/>
      <c r="C67" s="196"/>
      <c r="D67" s="200"/>
      <c r="E67" s="204"/>
      <c r="F67" s="200"/>
      <c r="G67" s="196"/>
      <c r="H67" s="123" t="s">
        <v>218</v>
      </c>
      <c r="I67" s="112">
        <f>AVERAGE('METCM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203.80179528571426</v>
      </c>
      <c r="J67" s="133">
        <f>AVERAGE('METCM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38.665854357142848</v>
      </c>
      <c r="K67" s="112">
        <f>AVERAGE('METCM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196.20519057142857</v>
      </c>
      <c r="L67" s="133">
        <f>AVERAGE('METCM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38.435607785714289</v>
      </c>
      <c r="M67" s="112">
        <f>AVERAGE('METCM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204.66874785714285</v>
      </c>
      <c r="N67" s="101">
        <f>AVERAGE('METCM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39.005837928571431</v>
      </c>
    </row>
    <row r="68" spans="1:14">
      <c r="A68" s="63"/>
      <c r="B68" s="196"/>
      <c r="C68" s="196"/>
      <c r="D68" s="200"/>
      <c r="E68" s="204"/>
      <c r="F68" s="200"/>
      <c r="G68" s="196"/>
      <c r="H68" s="123" t="s">
        <v>219</v>
      </c>
      <c r="I68" s="112">
        <f>_xlfn.STDEV.S('METCM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76.048229913883134</v>
      </c>
      <c r="J68" s="133">
        <f>_xlfn.STDEV.S('METCM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9.0434648305509544</v>
      </c>
      <c r="K68" s="112">
        <f>_xlfn.STDEV.S('METCM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85.668968649306237</v>
      </c>
      <c r="L68" s="133">
        <f>_xlfn.STDEV.S('METCM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9.4958093674252009</v>
      </c>
      <c r="M68" s="112">
        <f>_xlfn.STDEV.S('METCM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81.354312985968917</v>
      </c>
      <c r="N68" s="101">
        <f>_xlfn.STDEV.S('METCM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9.7698294456245947</v>
      </c>
    </row>
    <row r="69" spans="1:14">
      <c r="A69" s="63"/>
      <c r="B69" s="196"/>
      <c r="C69" s="196"/>
      <c r="D69" s="200"/>
      <c r="E69" s="204"/>
      <c r="F69" s="200"/>
      <c r="G69" s="196"/>
      <c r="H69" s="123" t="s">
        <v>220</v>
      </c>
      <c r="I69" s="113">
        <f>MEDIAN('METCM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183.890827</v>
      </c>
      <c r="J69" s="134">
        <f>MEDIAN('METCM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34.339541500000003</v>
      </c>
      <c r="K69" s="113">
        <f>MEDIAN('METCM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184.23222949999999</v>
      </c>
      <c r="L69" s="134">
        <f>MEDIAN('METCM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34.399206500000005</v>
      </c>
      <c r="M69" s="113">
        <f>MEDIAN('METCM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191.73579699999999</v>
      </c>
      <c r="N69" s="89">
        <f>MEDIAN('METCM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34.632793000000007</v>
      </c>
    </row>
    <row r="70" spans="1:14">
      <c r="A70" s="63"/>
      <c r="B70" s="196"/>
      <c r="C70" s="196"/>
      <c r="D70" s="200"/>
      <c r="E70" s="204"/>
      <c r="F70" s="200"/>
      <c r="G70" s="196"/>
      <c r="H70" s="123" t="s">
        <v>221</v>
      </c>
      <c r="I70" s="113">
        <f ca="1">_xlfn.QUARTILE.INC(('METCM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(Meteomatics)'!J123),1)</f>
        <v>176.269237</v>
      </c>
      <c r="J70" s="134">
        <f ca="1">_xlfn.QUARTILE.INC(('METCM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(Meteomatics)'!K123),1)</f>
        <v>31.944792749999998</v>
      </c>
      <c r="K70" s="113">
        <f ca="1">_xlfn.QUARTILE.INC(('METCM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(Meteomatics)'!J124),1)</f>
        <v>177.31298624999999</v>
      </c>
      <c r="L70" s="134">
        <f ca="1">_xlfn.QUARTILE.INC(('METCM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(Meteomatics)'!K124),1)</f>
        <v>31.759918750000001</v>
      </c>
      <c r="M70" s="113">
        <f ca="1">_xlfn.QUARTILE.INC(('METCM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(Meteomatics)'!J125),1)</f>
        <v>184.53058075000001</v>
      </c>
      <c r="N70" s="89">
        <f ca="1">_xlfn.QUARTILE.INC(('METCM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(Meteomatics)'!K125),1)</f>
        <v>31.922079</v>
      </c>
    </row>
    <row r="71" spans="1:14">
      <c r="A71" s="63"/>
      <c r="B71" s="196"/>
      <c r="C71" s="196"/>
      <c r="D71" s="200"/>
      <c r="E71" s="204"/>
      <c r="F71" s="200"/>
      <c r="G71" s="196"/>
      <c r="H71" s="123" t="s">
        <v>222</v>
      </c>
      <c r="I71" s="113">
        <f ca="1">_xlfn.QUARTILE.INC(('METCM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(Meteomatics)'!J123),3)</f>
        <v>194.2272395</v>
      </c>
      <c r="J71" s="134">
        <f ca="1">_xlfn.QUARTILE.INC(('METCM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(Meteomatics)'!K123),3)</f>
        <v>45.285231500000002</v>
      </c>
      <c r="K71" s="113">
        <f ca="1">_xlfn.QUARTILE.INC(('METCM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(Meteomatics)'!J124),3)</f>
        <v>196.16619025</v>
      </c>
      <c r="L71" s="134">
        <f ca="1">_xlfn.QUARTILE.INC(('METCM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(Meteomatics)'!K124),3)</f>
        <v>45.475064500000002</v>
      </c>
      <c r="M71" s="113">
        <f ca="1">_xlfn.QUARTILE.INC(('METCM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(Meteomatics)'!J125),3)</f>
        <v>203.71749274999999</v>
      </c>
      <c r="N71" s="89">
        <f ca="1">_xlfn.QUARTILE.INC(('METCM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(Meteomatics)'!K125),3)</f>
        <v>46.030259000000001</v>
      </c>
    </row>
    <row r="72" spans="1:14">
      <c r="A72" s="63"/>
      <c r="B72" s="196"/>
      <c r="C72" s="196"/>
      <c r="D72" s="200"/>
      <c r="E72" s="204"/>
      <c r="F72" s="200"/>
      <c r="G72" s="196"/>
      <c r="H72" s="123" t="s">
        <v>224</v>
      </c>
      <c r="I72" s="113">
        <f ca="1">I71-I70</f>
        <v>17.958002499999992</v>
      </c>
      <c r="J72" s="134">
        <f ca="1">J71-J70</f>
        <v>13.340438750000004</v>
      </c>
      <c r="K72" s="113">
        <f t="shared" ref="K72:N72" ca="1" si="49">K71-K70</f>
        <v>18.853204000000005</v>
      </c>
      <c r="L72" s="134">
        <f t="shared" ca="1" si="49"/>
        <v>13.715145750000001</v>
      </c>
      <c r="M72" s="113">
        <f t="shared" ca="1" si="49"/>
        <v>19.186911999999978</v>
      </c>
      <c r="N72" s="89">
        <f t="shared" ca="1" si="49"/>
        <v>14.108180000000001</v>
      </c>
    </row>
    <row r="73" spans="1:14">
      <c r="A73" s="63"/>
      <c r="B73" s="196"/>
      <c r="C73" s="196"/>
      <c r="D73" s="200"/>
      <c r="E73" s="204"/>
      <c r="F73" s="200"/>
      <c r="G73" s="196"/>
      <c r="H73" s="123" t="s">
        <v>225</v>
      </c>
      <c r="I73" s="113">
        <f>I67-_xlfn.CONFIDENCE.T(0.05,I68,I66)</f>
        <v>159.89285459377078</v>
      </c>
      <c r="J73" s="134">
        <f>J67-_xlfn.CONFIDENCE.T(0.05,J68,J66)</f>
        <v>33.444313220103872</v>
      </c>
      <c r="K73" s="113">
        <f t="shared" ref="K73:N73" si="50">K67-_xlfn.CONFIDENCE.T(0.05,K68,K66)</f>
        <v>146.74140071304501</v>
      </c>
      <c r="L73" s="134">
        <f t="shared" ref="L73" si="51">L67-_xlfn.CONFIDENCE.T(0.05,L68,L66)</f>
        <v>32.952890688834728</v>
      </c>
      <c r="M73" s="113">
        <f t="shared" si="50"/>
        <v>157.69616601033525</v>
      </c>
      <c r="N73" s="89">
        <f t="shared" ref="N73" si="52">N67-_xlfn.CONFIDENCE.T(0.05,N68,N66)</f>
        <v>33.364906348913195</v>
      </c>
    </row>
    <row r="74" spans="1:14">
      <c r="A74" s="63"/>
      <c r="B74" s="196"/>
      <c r="C74" s="196"/>
      <c r="D74" s="200"/>
      <c r="E74" s="204"/>
      <c r="F74" s="200"/>
      <c r="G74" s="196"/>
      <c r="H74" s="123" t="s">
        <v>226</v>
      </c>
      <c r="I74" s="113">
        <f>I67+_xlfn.CONFIDENCE.T(0.05,I68,I66)</f>
        <v>247.71073597765775</v>
      </c>
      <c r="J74" s="134">
        <f>J67+_xlfn.CONFIDENCE.T(0.05,J68,J66)</f>
        <v>43.887395494181824</v>
      </c>
      <c r="K74" s="113">
        <f t="shared" ref="K74:N74" si="53">K67+_xlfn.CONFIDENCE.T(0.05,K68,K66)</f>
        <v>245.66898042981214</v>
      </c>
      <c r="L74" s="134">
        <f t="shared" ref="L74" si="54">L67+_xlfn.CONFIDENCE.T(0.05,L68,L66)</f>
        <v>43.918324882593851</v>
      </c>
      <c r="M74" s="113">
        <f t="shared" si="53"/>
        <v>251.64132970395045</v>
      </c>
      <c r="N74" s="89">
        <f t="shared" ref="N74" si="55">N67+_xlfn.CONFIDENCE.T(0.05,N68,N66)</f>
        <v>44.646769508229667</v>
      </c>
    </row>
    <row r="75" spans="1:14">
      <c r="A75" s="46"/>
      <c r="B75" s="196"/>
      <c r="C75" s="196"/>
      <c r="D75" s="200"/>
      <c r="E75" s="206" t="s">
        <v>47</v>
      </c>
      <c r="F75" s="200"/>
      <c r="G75" s="196"/>
      <c r="H75" s="123" t="s">
        <v>217</v>
      </c>
      <c r="I75" s="97">
        <f>COUNT('METCM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14</v>
      </c>
      <c r="J75" s="135">
        <f>COUNT('METCM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14</v>
      </c>
      <c r="K75" s="97">
        <f>COUNT('METCM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14</v>
      </c>
      <c r="L75" s="135">
        <f>COUNT('METCM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14</v>
      </c>
      <c r="M75" s="97">
        <f>COUNT('METCM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14</v>
      </c>
      <c r="N75" s="90">
        <f>COUNT('METCM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14</v>
      </c>
    </row>
    <row r="76" spans="1:14">
      <c r="A76" s="46"/>
      <c r="B76" s="196"/>
      <c r="C76" s="196"/>
      <c r="D76" s="200"/>
      <c r="E76" s="206"/>
      <c r="F76" s="200"/>
      <c r="G76" s="196"/>
      <c r="H76" s="123" t="s">
        <v>218</v>
      </c>
      <c r="I76" s="114">
        <f>AVERAGE('METCM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374.30245471428572</v>
      </c>
      <c r="J76" s="136">
        <f>AVERAGE('METCM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48.458941642857148</v>
      </c>
      <c r="K76" s="114">
        <f>AVERAGE('METCM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358.74973678571433</v>
      </c>
      <c r="L76" s="136">
        <f>AVERAGE('METCM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48.287472785714293</v>
      </c>
      <c r="M76" s="114">
        <f>AVERAGE('METCM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375.81424678571432</v>
      </c>
      <c r="N76" s="103">
        <f>AVERAGE('METCM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48.866596714285713</v>
      </c>
    </row>
    <row r="77" spans="1:14">
      <c r="A77" s="46"/>
      <c r="B77" s="196"/>
      <c r="C77" s="196"/>
      <c r="D77" s="200"/>
      <c r="E77" s="206"/>
      <c r="F77" s="200"/>
      <c r="G77" s="196"/>
      <c r="H77" s="123" t="s">
        <v>219</v>
      </c>
      <c r="I77" s="114">
        <f>_xlfn.STDEV.S('METCM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150.03297730674541</v>
      </c>
      <c r="J77" s="136">
        <f>_xlfn.STDEV.S('METCM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9.714382979748331</v>
      </c>
      <c r="K77" s="114">
        <f>_xlfn.STDEV.S('METCM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169.03382674408564</v>
      </c>
      <c r="L77" s="136">
        <f>_xlfn.STDEV.S('METCM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10.151921611593593</v>
      </c>
      <c r="M77" s="114">
        <f>_xlfn.STDEV.S('METCM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159.40977778470284</v>
      </c>
      <c r="N77" s="103">
        <f>_xlfn.STDEV.S('METCM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10.544347185276905</v>
      </c>
    </row>
    <row r="78" spans="1:14">
      <c r="A78" s="46"/>
      <c r="B78" s="196"/>
      <c r="C78" s="196"/>
      <c r="D78" s="200"/>
      <c r="E78" s="206"/>
      <c r="F78" s="200"/>
      <c r="G78" s="196"/>
      <c r="H78" s="123" t="s">
        <v>220</v>
      </c>
      <c r="I78" s="97">
        <f>MEDIAN('METCM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332.01292949999998</v>
      </c>
      <c r="J78" s="135">
        <f>MEDIAN('METCM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44.093701500000002</v>
      </c>
      <c r="K78" s="97">
        <f>MEDIAN('METCM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333.72066050000001</v>
      </c>
      <c r="L78" s="135">
        <f>MEDIAN('METCM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44.164168000000004</v>
      </c>
      <c r="M78" s="97">
        <f>MEDIAN('METCM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347.81802099999999</v>
      </c>
      <c r="N78" s="90">
        <f>MEDIAN('METCM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44.439390500000002</v>
      </c>
    </row>
    <row r="79" spans="1:14">
      <c r="A79" s="46"/>
      <c r="B79" s="196"/>
      <c r="C79" s="196"/>
      <c r="D79" s="200"/>
      <c r="E79" s="206"/>
      <c r="F79" s="200"/>
      <c r="G79" s="196"/>
      <c r="H79" s="123" t="s">
        <v>221</v>
      </c>
      <c r="I79" s="115">
        <f ca="1">_xlfn.QUARTILE.INC(('METCM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(Meteomatics)'!J126),1)</f>
        <v>326.71574500000003</v>
      </c>
      <c r="J79" s="137">
        <f ca="1">_xlfn.QUARTILE.INC(('METCM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(Meteomatics)'!K126),1)</f>
        <v>41.229897749999999</v>
      </c>
      <c r="K79" s="115">
        <f ca="1">_xlfn.QUARTILE.INC(('METCM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(Meteomatics)'!J127),1)</f>
        <v>327.6756335</v>
      </c>
      <c r="L79" s="137">
        <f ca="1">_xlfn.QUARTILE.INC(('METCM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(Meteomatics)'!K127),1)</f>
        <v>41.0313205</v>
      </c>
      <c r="M79" s="115">
        <f ca="1">_xlfn.QUARTILE.INC(('METCM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(Meteomatics)'!J128),1)</f>
        <v>342.17379949999997</v>
      </c>
      <c r="N79" s="91">
        <f ca="1">_xlfn.QUARTILE.INC(('METCM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(Meteomatics)'!K128),1)</f>
        <v>41.237910999999997</v>
      </c>
    </row>
    <row r="80" spans="1:14">
      <c r="A80" s="46"/>
      <c r="B80" s="196"/>
      <c r="C80" s="196"/>
      <c r="D80" s="200"/>
      <c r="E80" s="206"/>
      <c r="F80" s="200"/>
      <c r="G80" s="196"/>
      <c r="H80" s="123" t="s">
        <v>222</v>
      </c>
      <c r="I80" s="115">
        <f ca="1">_xlfn.QUARTILE.INC(('METCM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(Meteomatics)'!J126),3)</f>
        <v>341.24298950000002</v>
      </c>
      <c r="J80" s="137">
        <f ca="1">_xlfn.QUARTILE.INC(('METCM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(Meteomatics)'!K126),3)</f>
        <v>56.030663750000002</v>
      </c>
      <c r="K80" s="115">
        <f ca="1">_xlfn.QUARTILE.INC(('METCM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(Meteomatics)'!J127),3)</f>
        <v>339.44030075000001</v>
      </c>
      <c r="L80" s="137">
        <f ca="1">_xlfn.QUARTILE.INC(('METCM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(Meteomatics)'!K127),3)</f>
        <v>56.278767500000001</v>
      </c>
      <c r="M80" s="115">
        <f ca="1">_xlfn.QUARTILE.INC(('METCM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(Meteomatics)'!J128),3)</f>
        <v>353.59008075000003</v>
      </c>
      <c r="N80" s="91">
        <f ca="1">_xlfn.QUARTILE.INC(('METCM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(Meteomatics)'!K128),3)</f>
        <v>57.24275325</v>
      </c>
    </row>
    <row r="81" spans="1:14">
      <c r="A81" s="46"/>
      <c r="B81" s="196"/>
      <c r="C81" s="196"/>
      <c r="D81" s="200"/>
      <c r="E81" s="206"/>
      <c r="F81" s="200"/>
      <c r="G81" s="196"/>
      <c r="H81" s="123" t="s">
        <v>224</v>
      </c>
      <c r="I81" s="115">
        <f ca="1">I80-I79</f>
        <v>14.527244499999995</v>
      </c>
      <c r="J81" s="137">
        <f ca="1">J80-J79</f>
        <v>14.800766000000003</v>
      </c>
      <c r="K81" s="115">
        <f t="shared" ref="K81:N81" ca="1" si="56">K80-K79</f>
        <v>11.764667250000002</v>
      </c>
      <c r="L81" s="137">
        <f t="shared" ca="1" si="56"/>
        <v>15.247447000000001</v>
      </c>
      <c r="M81" s="115">
        <f t="shared" ca="1" si="56"/>
        <v>11.416281250000054</v>
      </c>
      <c r="N81" s="91">
        <f t="shared" ca="1" si="56"/>
        <v>16.004842250000003</v>
      </c>
    </row>
    <row r="82" spans="1:14">
      <c r="A82" s="46"/>
      <c r="B82" s="196"/>
      <c r="C82" s="196"/>
      <c r="D82" s="200"/>
      <c r="E82" s="206"/>
      <c r="F82" s="200"/>
      <c r="G82" s="196"/>
      <c r="H82" s="123" t="s">
        <v>225</v>
      </c>
      <c r="I82" s="115">
        <f>I76-_xlfn.CONFIDENCE.T(0.05,I77,I75)</f>
        <v>287.67599266700881</v>
      </c>
      <c r="J82" s="137">
        <f>J76-_xlfn.CONFIDENCE.T(0.05,J77,J75)</f>
        <v>42.850023899477492</v>
      </c>
      <c r="K82" s="115">
        <f t="shared" ref="K82:N82" si="57">K76-_xlfn.CONFIDENCE.T(0.05,K77,K75)</f>
        <v>261.15251089573536</v>
      </c>
      <c r="L82" s="137">
        <f t="shared" ref="L82" si="58">L76-_xlfn.CONFIDENCE.T(0.05,L77,L75)</f>
        <v>42.425927757545978</v>
      </c>
      <c r="M82" s="115">
        <f t="shared" si="57"/>
        <v>283.77378132858735</v>
      </c>
      <c r="N82" s="91">
        <f t="shared" ref="N82" si="59">N76-_xlfn.CONFIDENCE.T(0.05,N77,N75)</f>
        <v>42.778471905623171</v>
      </c>
    </row>
    <row r="83" spans="1:14">
      <c r="A83" s="93"/>
      <c r="B83" s="203"/>
      <c r="C83" s="203"/>
      <c r="D83" s="205"/>
      <c r="E83" s="208"/>
      <c r="F83" s="205"/>
      <c r="G83" s="203"/>
      <c r="H83" s="142" t="s">
        <v>226</v>
      </c>
      <c r="I83" s="143">
        <f>I76+_xlfn.CONFIDENCE.T(0.05,I77,I75)</f>
        <v>460.92891676156262</v>
      </c>
      <c r="J83" s="145">
        <f>J76+_xlfn.CONFIDENCE.T(0.05,J77,J75)</f>
        <v>54.067859386236805</v>
      </c>
      <c r="K83" s="143">
        <f t="shared" ref="K83:N83" si="60">K76+_xlfn.CONFIDENCE.T(0.05,K77,K75)</f>
        <v>456.34696267569331</v>
      </c>
      <c r="L83" s="145">
        <f t="shared" ref="L83" si="61">L76+_xlfn.CONFIDENCE.T(0.05,L77,L75)</f>
        <v>54.149017813882608</v>
      </c>
      <c r="M83" s="143">
        <f t="shared" si="60"/>
        <v>467.85471224284129</v>
      </c>
      <c r="N83" s="144">
        <f t="shared" ref="N83" si="62">N76+_xlfn.CONFIDENCE.T(0.05,N77,N75)</f>
        <v>54.954721522948255</v>
      </c>
    </row>
    <row r="84" spans="1:14">
      <c r="A84" s="61"/>
      <c r="B84" s="195" t="s">
        <v>29</v>
      </c>
      <c r="C84" s="195" t="s">
        <v>11</v>
      </c>
      <c r="D84" s="198" t="s">
        <v>23</v>
      </c>
      <c r="E84" s="198" t="s">
        <v>40</v>
      </c>
      <c r="F84" s="202" t="s">
        <v>229</v>
      </c>
      <c r="G84" s="195">
        <v>15990</v>
      </c>
      <c r="H84" s="122" t="s">
        <v>217</v>
      </c>
      <c r="I84" s="107">
        <f>COUNT('METCM (from METGM)'!J3,'METCM (from METGM)'!J12,'METCM (from METGM)'!J21,'METCM (from METGM)'!J30,'METCM (from METGM)'!J39,'METCM (from METGM)'!J48)</f>
        <v>6</v>
      </c>
      <c r="J84" s="127">
        <f>COUNT('METCM (from METGM)'!K3,'METCM (from METGM)'!K12,'METCM (from METGM)'!K21,'METCM (from METGM)'!K30,'METCM (from METGM)'!K39,'METCM (from METGM)'!K48)</f>
        <v>6</v>
      </c>
      <c r="K84" s="107">
        <f>COUNT('METCM (from METGM)'!J4,'METCM (from METGM)'!J13,'METCM (from METGM)'!J22,'METCM (from METGM)'!J31,'METCM (from METGM)'!J40,'METCM (from METGM)'!J49)</f>
        <v>6</v>
      </c>
      <c r="L84" s="127">
        <f>COUNT('METCM (from METGM)'!K4,'METCM (from METGM)'!K13,'METCM (from METGM)'!K22,'METCM (from METGM)'!K31,'METCM (from METGM)'!K40,'METCM (from METGM)'!K49)</f>
        <v>6</v>
      </c>
      <c r="M84" s="107">
        <f>COUNT('METCM (from METGM)'!J5,'METCM (from METGM)'!J14,'METCM (from METGM)'!J23,'METCM (from METGM)'!J32,'METCM (from METGM)'!J41,'METCM (from METGM)'!J50)</f>
        <v>6</v>
      </c>
      <c r="N84" s="85">
        <f>COUNT('METCM (from METGM)'!K5,'METCM (from METGM)'!K14,'METCM (from METGM)'!K23,'METCM (from METGM)'!K32,'METCM (from METGM)'!K41,'METCM (from METGM)'!K50)</f>
        <v>6</v>
      </c>
    </row>
    <row r="85" spans="1:14">
      <c r="A85" s="62"/>
      <c r="B85" s="196"/>
      <c r="C85" s="196"/>
      <c r="D85" s="200"/>
      <c r="E85" s="199"/>
      <c r="F85" s="200"/>
      <c r="G85" s="196"/>
      <c r="H85" s="123" t="s">
        <v>218</v>
      </c>
      <c r="I85" s="109">
        <f>AVERAGE('METCM (from METGM)'!J3,'METCM (from METGM)'!J12,'METCM (from METGM)'!J21,'METCM (from METGM)'!J30,'METCM (from METGM)'!J39,'METCM (from METGM)'!J48)</f>
        <v>59.818831333333328</v>
      </c>
      <c r="J85" s="128">
        <f>AVERAGE('METCM (from METGM)'!K3,'METCM (from METGM)'!K12,'METCM (from METGM)'!K21,'METCM (from METGM)'!K30,'METCM (from METGM)'!K39,'METCM (from METGM)'!K48)</f>
        <v>21.365848</v>
      </c>
      <c r="K85" s="109">
        <f>AVERAGE('METCM (from METGM)'!J4,'METCM (from METGM)'!J13,'METCM (from METGM)'!J22,'METCM (from METGM)'!J31,'METCM (from METGM)'!J40,'METCM (from METGM)'!J49)</f>
        <v>59.702120999999998</v>
      </c>
      <c r="L85" s="128">
        <f>AVERAGE('METCM (from METGM)'!K4,'METCM (from METGM)'!K13,'METCM (from METGM)'!K22,'METCM (from METGM)'!K31,'METCM (from METGM)'!K40,'METCM (from METGM)'!K49)</f>
        <v>21.372688833333331</v>
      </c>
      <c r="M85" s="109">
        <f>AVERAGE('METCM (from METGM)'!J5,'METCM (from METGM)'!J14,'METCM (from METGM)'!J23,'METCM (from METGM)'!J32,'METCM (from METGM)'!J41,'METCM (from METGM)'!J50)</f>
        <v>56.697876333333333</v>
      </c>
      <c r="N85" s="99">
        <f>AVERAGE('METCM (from METGM)'!K5,'METCM (from METGM)'!K14,'METCM (from METGM)'!K23,'METCM (from METGM)'!K32,'METCM (from METGM)'!K41,'METCM (from METGM)'!K50)</f>
        <v>21.343947333333332</v>
      </c>
    </row>
    <row r="86" spans="1:14">
      <c r="A86" s="62"/>
      <c r="B86" s="196"/>
      <c r="C86" s="196"/>
      <c r="D86" s="200"/>
      <c r="E86" s="199"/>
      <c r="F86" s="200"/>
      <c r="G86" s="196"/>
      <c r="H86" s="123" t="s">
        <v>219</v>
      </c>
      <c r="I86" s="109">
        <f>_xlfn.STDEV.S('METCM (from METGM)'!J3,'METCM (from METGM)'!J12,'METCM (from METGM)'!J21,'METCM (from METGM)'!J30,'METCM (from METGM)'!J39,'METCM (from METGM)'!J48)</f>
        <v>1.5828603651182467</v>
      </c>
      <c r="J86" s="128">
        <f>_xlfn.STDEV.S('METCM (from METGM)'!K3,'METCM (from METGM)'!K12,'METCM (from METGM)'!K21,'METCM (from METGM)'!K30,'METCM (from METGM)'!K39,'METCM (from METGM)'!K48)</f>
        <v>0.51651672273528604</v>
      </c>
      <c r="K86" s="109">
        <f>_xlfn.STDEV.S('METCM (from METGM)'!J4,'METCM (from METGM)'!J13,'METCM (from METGM)'!J22,'METCM (from METGM)'!J31,'METCM (from METGM)'!J40,'METCM (from METGM)'!J49)</f>
        <v>1.7431824327199934</v>
      </c>
      <c r="L86" s="128">
        <f>_xlfn.STDEV.S('METCM (from METGM)'!K4,'METCM (from METGM)'!K13,'METCM (from METGM)'!K22,'METCM (from METGM)'!K31,'METCM (from METGM)'!K40,'METCM (from METGM)'!K49)</f>
        <v>0.5278387024629464</v>
      </c>
      <c r="M86" s="109">
        <f>_xlfn.STDEV.S('METCM (from METGM)'!J5,'METCM (from METGM)'!J14,'METCM (from METGM)'!J23,'METCM (from METGM)'!J32,'METCM (from METGM)'!J41,'METCM (from METGM)'!J50)</f>
        <v>7.2051191752075665</v>
      </c>
      <c r="N86" s="99">
        <f>_xlfn.STDEV.S('METCM (from METGM)'!K5,'METCM (from METGM)'!K14,'METCM (from METGM)'!K23,'METCM (from METGM)'!K32,'METCM (from METGM)'!K41,'METCM (from METGM)'!K50)</f>
        <v>0.62551344231972039</v>
      </c>
    </row>
    <row r="87" spans="1:14">
      <c r="A87" s="62"/>
      <c r="B87" s="196"/>
      <c r="C87" s="196"/>
      <c r="D87" s="200"/>
      <c r="E87" s="199"/>
      <c r="F87" s="200"/>
      <c r="G87" s="196"/>
      <c r="H87" s="123" t="s">
        <v>220</v>
      </c>
      <c r="I87" s="118">
        <f>MEDIAN('METCM (from METGM)'!J3,'METCM (from METGM)'!J12,'METCM (from METGM)'!J21,'METCM (from METGM)'!J30,'METCM (from METGM)'!J39,'METCM (from METGM)'!J48)</f>
        <v>59.829788999999998</v>
      </c>
      <c r="J87" s="131">
        <f>MEDIAN('METCM (from METGM)'!K3,'METCM (from METGM)'!K12,'METCM (from METGM)'!K21,'METCM (from METGM)'!K30,'METCM (from METGM)'!K39,'METCM (from METGM)'!K48)</f>
        <v>21.241151000000002</v>
      </c>
      <c r="K87" s="118">
        <f>MEDIAN('METCM (from METGM)'!J4,'METCM (from METGM)'!J13,'METCM (from METGM)'!J22,'METCM (from METGM)'!J31,'METCM (from METGM)'!J40,'METCM (from METGM)'!J49)</f>
        <v>59.379821499999998</v>
      </c>
      <c r="L87" s="131">
        <f>MEDIAN('METCM (from METGM)'!K4,'METCM (from METGM)'!K13,'METCM (from METGM)'!K22,'METCM (from METGM)'!K31,'METCM (from METGM)'!K40,'METCM (from METGM)'!K49)</f>
        <v>21.249029</v>
      </c>
      <c r="M87" s="118">
        <f>MEDIAN('METCM (from METGM)'!J5,'METCM (from METGM)'!J14,'METCM (from METGM)'!J23,'METCM (from METGM)'!J32,'METCM (from METGM)'!J41,'METCM (from METGM)'!J50)</f>
        <v>59.642212000000001</v>
      </c>
      <c r="N87" s="86">
        <f>MEDIAN('METCM (from METGM)'!K5,'METCM (from METGM)'!K14,'METCM (from METGM)'!K23,'METCM (from METGM)'!K32,'METCM (from METGM)'!K41,'METCM (from METGM)'!K50)</f>
        <v>21.210459</v>
      </c>
    </row>
    <row r="88" spans="1:14">
      <c r="A88" s="62"/>
      <c r="B88" s="196"/>
      <c r="C88" s="196"/>
      <c r="D88" s="200"/>
      <c r="E88" s="199"/>
      <c r="F88" s="200"/>
      <c r="G88" s="196"/>
      <c r="H88" s="123" t="s">
        <v>221</v>
      </c>
      <c r="I88" s="119">
        <f ca="1">_xlfn.QUARTILE.INC(('METCM (from METGM)'!J3,'METCM (from METGM)'!J12,'METCM (from METGM)'!J21,'METCM (from METGM)'!J30,'METCM (from METGM)'!J39,'METCM (from METGM)'!J48),1)</f>
        <v>58.980437999999999</v>
      </c>
      <c r="J88" s="140">
        <f ca="1">_xlfn.QUARTILE.INC(('METCM (from METGM)'!K3,'METCM (from METGM)'!K12,'METCM (from METGM)'!K21,'METCM (from METGM)'!K30,'METCM (from METGM)'!K39,'METCM (from METGM)'!K48),1)</f>
        <v>20.9436635</v>
      </c>
      <c r="K88" s="119">
        <f ca="1">_xlfn.QUARTILE.INC(('METCM (from METGM)'!J4,'METCM (from METGM)'!J13,'METCM (from METGM)'!J22,'METCM (from METGM)'!J31,'METCM (from METGM)'!J40,'METCM (from METGM)'!J49),1)</f>
        <v>58.448509000000001</v>
      </c>
      <c r="L88" s="140">
        <f ca="1">_xlfn.QUARTILE.INC(('METCM (from METGM)'!K4,'METCM (from METGM)'!K13,'METCM (from METGM)'!K22,'METCM (from METGM)'!K31,'METCM (from METGM)'!K40,'METCM (from METGM)'!K49),1)</f>
        <v>20.947173999999997</v>
      </c>
      <c r="M88" s="119">
        <f ca="1">_xlfn.QUARTILE.INC(('METCM (from METGM)'!J5,'METCM (from METGM)'!J14,'METCM (from METGM)'!J23,'METCM (from METGM)'!J32,'METCM (from METGM)'!J41,'METCM (from METGM)'!J50),1)</f>
        <v>50.437520500000005</v>
      </c>
      <c r="N88" s="87">
        <f ca="1">_xlfn.QUARTILE.INC(('METCM (from METGM)'!K5,'METCM (from METGM)'!K14,'METCM (from METGM)'!K23,'METCM (from METGM)'!K32,'METCM (from METGM)'!K41,'METCM (from METGM)'!K50),1)</f>
        <v>20.81228875</v>
      </c>
    </row>
    <row r="89" spans="1:14">
      <c r="A89" s="62"/>
      <c r="B89" s="196"/>
      <c r="C89" s="196"/>
      <c r="D89" s="200"/>
      <c r="E89" s="199"/>
      <c r="F89" s="200"/>
      <c r="G89" s="196"/>
      <c r="H89" s="123" t="s">
        <v>222</v>
      </c>
      <c r="I89" s="119">
        <f ca="1">_xlfn.QUARTILE.INC(('METCM (from METGM)'!J3,'METCM (from METGM)'!J12,'METCM (from METGM)'!J21,'METCM (from METGM)'!J30,'METCM (from METGM)'!J39,'METCM (from METGM)'!J48),3)</f>
        <v>60.958331250000001</v>
      </c>
      <c r="J89" s="140">
        <f ca="1">_xlfn.QUARTILE.INC(('METCM (from METGM)'!K3,'METCM (from METGM)'!K12,'METCM (from METGM)'!K21,'METCM (from METGM)'!K30,'METCM (from METGM)'!K39,'METCM (from METGM)'!K48),3)</f>
        <v>21.786768500000001</v>
      </c>
      <c r="K89" s="119">
        <f ca="1">_xlfn.QUARTILE.INC(('METCM (from METGM)'!J4,'METCM (from METGM)'!J13,'METCM (from METGM)'!J22,'METCM (from METGM)'!J31,'METCM (from METGM)'!J40,'METCM (from METGM)'!J49),3)</f>
        <v>61.038782499999996</v>
      </c>
      <c r="L89" s="140">
        <f ca="1">_xlfn.QUARTILE.INC(('METCM (from METGM)'!K4,'METCM (from METGM)'!K13,'METCM (from METGM)'!K22,'METCM (from METGM)'!K31,'METCM (from METGM)'!K40,'METCM (from METGM)'!K49),3)</f>
        <v>21.802937249999999</v>
      </c>
      <c r="M89" s="119">
        <f ca="1">_xlfn.QUARTILE.INC(('METCM (from METGM)'!J5,'METCM (from METGM)'!J14,'METCM (from METGM)'!J23,'METCM (from METGM)'!J32,'METCM (from METGM)'!J41,'METCM (from METGM)'!J50),3)</f>
        <v>62.078944000000007</v>
      </c>
      <c r="N89" s="87">
        <f ca="1">_xlfn.QUARTILE.INC(('METCM (from METGM)'!K5,'METCM (from METGM)'!K14,'METCM (from METGM)'!K23,'METCM (from METGM)'!K32,'METCM (from METGM)'!K41,'METCM (from METGM)'!K50),3)</f>
        <v>21.866312749999999</v>
      </c>
    </row>
    <row r="90" spans="1:14">
      <c r="A90" s="62"/>
      <c r="B90" s="196"/>
      <c r="C90" s="196"/>
      <c r="D90" s="200"/>
      <c r="E90" s="199"/>
      <c r="F90" s="200"/>
      <c r="G90" s="196">
        <v>3000</v>
      </c>
      <c r="H90" s="123" t="s">
        <v>224</v>
      </c>
      <c r="I90" s="118">
        <f ca="1">I89-I88</f>
        <v>1.977893250000001</v>
      </c>
      <c r="J90" s="131">
        <f ca="1">J89-J88</f>
        <v>0.84310500000000133</v>
      </c>
      <c r="K90" s="118">
        <f t="shared" ref="K90:N90" ca="1" si="63">K89-K88</f>
        <v>2.590273499999995</v>
      </c>
      <c r="L90" s="131">
        <f t="shared" ca="1" si="63"/>
        <v>0.85576325000000253</v>
      </c>
      <c r="M90" s="118">
        <f t="shared" ca="1" si="63"/>
        <v>11.641423500000002</v>
      </c>
      <c r="N90" s="86">
        <f t="shared" ca="1" si="63"/>
        <v>1.0540239999999983</v>
      </c>
    </row>
    <row r="91" spans="1:14">
      <c r="A91" s="62"/>
      <c r="B91" s="196"/>
      <c r="C91" s="196"/>
      <c r="D91" s="200"/>
      <c r="E91" s="199"/>
      <c r="F91" s="200"/>
      <c r="G91" s="196"/>
      <c r="H91" s="123" t="s">
        <v>225</v>
      </c>
      <c r="I91" s="118">
        <f>I85-_xlfn.CONFIDENCE.T(0.05,I86,I84)</f>
        <v>58.157721253199469</v>
      </c>
      <c r="J91" s="131">
        <f>J85-_xlfn.CONFIDENCE.T(0.05,J86,J84)</f>
        <v>20.823796942559319</v>
      </c>
      <c r="K91" s="118">
        <f t="shared" ref="K91:N91" si="64">K85-_xlfn.CONFIDENCE.T(0.05,K86,K84)</f>
        <v>57.872763228263054</v>
      </c>
      <c r="L91" s="131">
        <f t="shared" ref="L91" si="65">L85-_xlfn.CONFIDENCE.T(0.05,L86,L84)</f>
        <v>20.818756086852265</v>
      </c>
      <c r="M91" s="118">
        <f t="shared" si="64"/>
        <v>49.136567481172555</v>
      </c>
      <c r="N91" s="86">
        <f t="shared" ref="N91" si="66">N85-_xlfn.CONFIDENCE.T(0.05,N86,N84)</f>
        <v>20.687511233728998</v>
      </c>
    </row>
    <row r="92" spans="1:14">
      <c r="A92" s="62"/>
      <c r="B92" s="196"/>
      <c r="C92" s="196"/>
      <c r="D92" s="200"/>
      <c r="E92" s="199"/>
      <c r="F92" s="200"/>
      <c r="G92" s="196"/>
      <c r="H92" s="123" t="s">
        <v>226</v>
      </c>
      <c r="I92" s="118">
        <f>I85+_xlfn.CONFIDENCE.T(0.05,I86,I84)</f>
        <v>61.479941413467188</v>
      </c>
      <c r="J92" s="131">
        <f>J85+_xlfn.CONFIDENCE.T(0.05,J86,J84)</f>
        <v>21.90789905744068</v>
      </c>
      <c r="K92" s="118">
        <f t="shared" ref="K92:N92" si="67">K85+_xlfn.CONFIDENCE.T(0.05,K86,K84)</f>
        <v>61.531478771736943</v>
      </c>
      <c r="L92" s="131">
        <f t="shared" ref="L92" si="68">L85+_xlfn.CONFIDENCE.T(0.05,L86,L84)</f>
        <v>21.926621579814398</v>
      </c>
      <c r="M92" s="118">
        <f t="shared" si="67"/>
        <v>64.259185185494118</v>
      </c>
      <c r="N92" s="86">
        <f t="shared" ref="N92" si="69">N85+_xlfn.CONFIDENCE.T(0.05,N86,N84)</f>
        <v>22.000383432937667</v>
      </c>
    </row>
    <row r="93" spans="1:14">
      <c r="A93" s="63"/>
      <c r="B93" s="196"/>
      <c r="C93" s="196"/>
      <c r="D93" s="200"/>
      <c r="E93" s="204" t="s">
        <v>42</v>
      </c>
      <c r="F93" s="200"/>
      <c r="G93" s="196"/>
      <c r="H93" s="123" t="s">
        <v>217</v>
      </c>
      <c r="I93" s="111">
        <f>COUNT('METCM (from METGM)'!J6,'METCM (from METGM)'!J15,'METCM (from METGM)'!J24,'METCM (from METGM)'!J33,'METCM (from METGM)'!J42,'METCM (from METGM)'!J51)</f>
        <v>6</v>
      </c>
      <c r="J93" s="132">
        <f>COUNT('METCM (from METGM)'!K6,'METCM (from METGM)'!K15,'METCM (from METGM)'!K24,'METCM (from METGM)'!K33,'METCM (from METGM)'!K42,'METCM (from METGM)'!K51)</f>
        <v>6</v>
      </c>
      <c r="K93" s="111">
        <f>COUNT('METCM (from METGM)'!J7,'METCM (from METGM)'!J16,'METCM (from METGM)'!J25,'METCM (from METGM)'!J34,'METCM (from METGM)'!J43,'METCM (from METGM)'!J52)</f>
        <v>6</v>
      </c>
      <c r="L93" s="132">
        <f>COUNT('METCM (from METGM)'!K7,'METCM (from METGM)'!K16,'METCM (from METGM)'!K25,'METCM (from METGM)'!K34,'METCM (from METGM)'!K43,'METCM (from METGM)'!K52)</f>
        <v>6</v>
      </c>
      <c r="M93" s="111">
        <f>COUNT('METCM (from METGM)'!J8,'METCM (from METGM)'!J17,'METCM (from METGM)'!J26,'METCM (from METGM)'!J35,'METCM (from METGM)'!J44,'METCM (from METGM)'!J53)</f>
        <v>6</v>
      </c>
      <c r="N93" s="88">
        <f>COUNT('METCM (from METGM)'!K8,'METCM (from METGM)'!K17,'METCM (from METGM)'!K26,'METCM (from METGM)'!K35,'METCM (from METGM)'!K44,'METCM (from METGM)'!K53)</f>
        <v>6</v>
      </c>
    </row>
    <row r="94" spans="1:14">
      <c r="A94" s="63"/>
      <c r="B94" s="196"/>
      <c r="C94" s="196"/>
      <c r="D94" s="200"/>
      <c r="E94" s="204"/>
      <c r="F94" s="200"/>
      <c r="G94" s="196"/>
      <c r="H94" s="123" t="s">
        <v>218</v>
      </c>
      <c r="I94" s="112">
        <f>AVERAGE('METCM (from METGM)'!J6,'METCM (from METGM)'!J15,'METCM (from METGM)'!J24,'METCM (from METGM)'!J33,'METCM (from METGM)'!J42,'METCM (from METGM)'!J51)</f>
        <v>182.75676816666666</v>
      </c>
      <c r="J94" s="133">
        <f>AVERAGE('METCM (from METGM)'!K6,'METCM (from METGM)'!K15,'METCM (from METGM)'!K24,'METCM (from METGM)'!K33,'METCM (from METGM)'!K42,'METCM (from METGM)'!K51)</f>
        <v>34.468763000000003</v>
      </c>
      <c r="K94" s="112">
        <f>AVERAGE('METCM (from METGM)'!J7,'METCM (from METGM)'!J16,'METCM (from METGM)'!J25,'METCM (from METGM)'!J34,'METCM (from METGM)'!J43,'METCM (from METGM)'!J52)</f>
        <v>181.73908333333335</v>
      </c>
      <c r="L94" s="133">
        <f>AVERAGE('METCM (from METGM)'!K7,'METCM (from METGM)'!K16,'METCM (from METGM)'!K25,'METCM (from METGM)'!K34,'METCM (from METGM)'!K43,'METCM (from METGM)'!K52)</f>
        <v>34.485924000000004</v>
      </c>
      <c r="M94" s="112">
        <f>AVERAGE('METCM (from METGM)'!J8,'METCM (from METGM)'!J17,'METCM (from METGM)'!J26,'METCM (from METGM)'!J35,'METCM (from METGM)'!J44,'METCM (from METGM)'!J53)</f>
        <v>149.05870016666668</v>
      </c>
      <c r="N94" s="101">
        <f>AVERAGE('METCM (from METGM)'!K8,'METCM (from METGM)'!K17,'METCM (from METGM)'!K26,'METCM (from METGM)'!K35,'METCM (from METGM)'!K44,'METCM (from METGM)'!K53)</f>
        <v>33.984540666666668</v>
      </c>
    </row>
    <row r="95" spans="1:14">
      <c r="A95" s="63"/>
      <c r="B95" s="196"/>
      <c r="C95" s="196"/>
      <c r="D95" s="200"/>
      <c r="E95" s="204"/>
      <c r="F95" s="200"/>
      <c r="G95" s="196"/>
      <c r="H95" s="123" t="s">
        <v>219</v>
      </c>
      <c r="I95" s="112">
        <f>_xlfn.STDEV.S('METCM (from METGM)'!J6,'METCM (from METGM)'!J15,'METCM (from METGM)'!J24,'METCM (from METGM)'!J33,'METCM (from METGM)'!J42,'METCM (from METGM)'!J51)</f>
        <v>8.5039712523220707</v>
      </c>
      <c r="J95" s="133">
        <f>_xlfn.STDEV.S('METCM (from METGM)'!K6,'METCM (from METGM)'!K15,'METCM (from METGM)'!K24,'METCM (from METGM)'!K33,'METCM (from METGM)'!K42,'METCM (from METGM)'!K51)</f>
        <v>3.8873752159896857</v>
      </c>
      <c r="K95" s="112">
        <f>_xlfn.STDEV.S('METCM (from METGM)'!J7,'METCM (from METGM)'!J16,'METCM (from METGM)'!J25,'METCM (from METGM)'!J34,'METCM (from METGM)'!J43,'METCM (from METGM)'!J52)</f>
        <v>2.2055999418956911</v>
      </c>
      <c r="L95" s="133">
        <f>_xlfn.STDEV.S('METCM (from METGM)'!K7,'METCM (from METGM)'!K16,'METCM (from METGM)'!K25,'METCM (from METGM)'!K34,'METCM (from METGM)'!K43,'METCM (from METGM)'!K52)</f>
        <v>4.0221520226737955</v>
      </c>
      <c r="M95" s="112">
        <f>_xlfn.STDEV.S('METCM (from METGM)'!J8,'METCM (from METGM)'!J17,'METCM (from METGM)'!J26,'METCM (from METGM)'!J35,'METCM (from METGM)'!J44,'METCM (from METGM)'!J53)</f>
        <v>60.190861763464639</v>
      </c>
      <c r="N95" s="101">
        <f>_xlfn.STDEV.S('METCM (from METGM)'!K8,'METCM (from METGM)'!K17,'METCM (from METGM)'!K26,'METCM (from METGM)'!K35,'METCM (from METGM)'!K44,'METCM (from METGM)'!K53)</f>
        <v>5.4000033377874654</v>
      </c>
    </row>
    <row r="96" spans="1:14">
      <c r="A96" s="63"/>
      <c r="B96" s="196"/>
      <c r="C96" s="196"/>
      <c r="D96" s="200"/>
      <c r="E96" s="204"/>
      <c r="F96" s="200"/>
      <c r="G96" s="196"/>
      <c r="H96" s="123" t="s">
        <v>220</v>
      </c>
      <c r="I96" s="113">
        <f>MEDIAN('METCM (from METGM)'!J6,'METCM (from METGM)'!J15,'METCM (from METGM)'!J24,'METCM (from METGM)'!J33,'METCM (from METGM)'!J42,'METCM (from METGM)'!J51)</f>
        <v>180.08250600000002</v>
      </c>
      <c r="J96" s="134">
        <f>MEDIAN('METCM (from METGM)'!K6,'METCM (from METGM)'!K15,'METCM (from METGM)'!K24,'METCM (from METGM)'!K33,'METCM (from METGM)'!K42,'METCM (from METGM)'!K51)</f>
        <v>34.375939500000001</v>
      </c>
      <c r="K96" s="113">
        <f>MEDIAN('METCM (from METGM)'!J7,'METCM (from METGM)'!J16,'METCM (from METGM)'!J25,'METCM (from METGM)'!J34,'METCM (from METGM)'!J43,'METCM (from METGM)'!J52)</f>
        <v>181.96030450000001</v>
      </c>
      <c r="L96" s="134">
        <f>MEDIAN('METCM (from METGM)'!K7,'METCM (from METGM)'!K16,'METCM (from METGM)'!K25,'METCM (from METGM)'!K34,'METCM (from METGM)'!K43,'METCM (from METGM)'!K52)</f>
        <v>34.476725000000002</v>
      </c>
      <c r="M96" s="113">
        <f>MEDIAN('METCM (from METGM)'!J8,'METCM (from METGM)'!J17,'METCM (from METGM)'!J26,'METCM (from METGM)'!J35,'METCM (from METGM)'!J44,'METCM (from METGM)'!J53)</f>
        <v>186.52551800000001</v>
      </c>
      <c r="N96" s="89">
        <f>MEDIAN('METCM (from METGM)'!K8,'METCM (from METGM)'!K17,'METCM (from METGM)'!K26,'METCM (from METGM)'!K35,'METCM (from METGM)'!K44,'METCM (from METGM)'!K53)</f>
        <v>34.869648999999995</v>
      </c>
    </row>
    <row r="97" spans="1:14">
      <c r="A97" s="63"/>
      <c r="B97" s="196"/>
      <c r="C97" s="196"/>
      <c r="D97" s="200"/>
      <c r="E97" s="204"/>
      <c r="F97" s="200"/>
      <c r="G97" s="196"/>
      <c r="H97" s="123" t="s">
        <v>221</v>
      </c>
      <c r="I97" s="113">
        <f ca="1">_xlfn.QUARTILE.INC(('METCM (from METGM)'!J6,'METCM (from METGM)'!J15,'METCM (from METGM)'!J24,'METCM (from METGM)'!J33,'METCM (from METGM)'!J42,'METCM (from METGM)'!J51),1)</f>
        <v>178.64329724999999</v>
      </c>
      <c r="J97" s="134">
        <f ca="1">_xlfn.QUARTILE.INC(('METCM (from METGM)'!K6,'METCM (from METGM)'!K15,'METCM (from METGM)'!K24,'METCM (from METGM)'!K33,'METCM (from METGM)'!K42,'METCM (from METGM)'!K51),1)</f>
        <v>31.713501000000001</v>
      </c>
      <c r="K97" s="113">
        <f ca="1">_xlfn.QUARTILE.INC(('METCM (from METGM)'!J7,'METCM (from METGM)'!J16,'METCM (from METGM)'!J25,'METCM (from METGM)'!J34,'METCM (from METGM)'!J43,'METCM (from METGM)'!J52),1)</f>
        <v>180.514096</v>
      </c>
      <c r="L97" s="134">
        <f ca="1">_xlfn.QUARTILE.INC(('METCM (from METGM)'!K7,'METCM (from METGM)'!K16,'METCM (from METGM)'!K25,'METCM (from METGM)'!K34,'METCM (from METGM)'!K43,'METCM (from METGM)'!K52),1)</f>
        <v>31.407919</v>
      </c>
      <c r="M97" s="113">
        <f ca="1">_xlfn.QUARTILE.INC(('METCM (from METGM)'!J8,'METCM (from METGM)'!J17,'METCM (from METGM)'!J26,'METCM (from METGM)'!J35,'METCM (from METGM)'!J44,'METCM (from METGM)'!J53),1)</f>
        <v>100.08046225000001</v>
      </c>
      <c r="N97" s="89">
        <f ca="1">_xlfn.QUARTILE.INC(('METCM (from METGM)'!K8,'METCM (from METGM)'!K17,'METCM (from METGM)'!K26,'METCM (from METGM)'!K35,'METCM (from METGM)'!K44,'METCM (from METGM)'!K53),1)</f>
        <v>29.202088249999999</v>
      </c>
    </row>
    <row r="98" spans="1:14">
      <c r="A98" s="63"/>
      <c r="B98" s="196"/>
      <c r="C98" s="196"/>
      <c r="D98" s="200"/>
      <c r="E98" s="204"/>
      <c r="F98" s="200"/>
      <c r="G98" s="196"/>
      <c r="H98" s="123" t="s">
        <v>222</v>
      </c>
      <c r="I98" s="113">
        <f ca="1">_xlfn.QUARTILE.INC(('METCM (from METGM)'!J6,'METCM (from METGM)'!J15,'METCM (from METGM)'!J24,'METCM (from METGM)'!J33,'METCM (from METGM)'!J42,'METCM (from METGM)'!J51),3)</f>
        <v>181.47138150000001</v>
      </c>
      <c r="J98" s="134">
        <f ca="1">_xlfn.QUARTILE.INC(('METCM (from METGM)'!K6,'METCM (from METGM)'!K15,'METCM (from METGM)'!K24,'METCM (from METGM)'!K33,'METCM (from METGM)'!K42,'METCM (from METGM)'!K51),3)</f>
        <v>37.746404999999996</v>
      </c>
      <c r="K98" s="113">
        <f ca="1">_xlfn.QUARTILE.INC(('METCM (from METGM)'!J7,'METCM (from METGM)'!J16,'METCM (from METGM)'!J25,'METCM (from METGM)'!J34,'METCM (from METGM)'!J43,'METCM (from METGM)'!J52),3)</f>
        <v>183.27378924999999</v>
      </c>
      <c r="L98" s="134">
        <f ca="1">_xlfn.QUARTILE.INC(('METCM (from METGM)'!K7,'METCM (from METGM)'!K16,'METCM (from METGM)'!K25,'METCM (from METGM)'!K34,'METCM (from METGM)'!K43,'METCM (from METGM)'!K52),3)</f>
        <v>37.88765325</v>
      </c>
      <c r="M98" s="113">
        <f ca="1">_xlfn.QUARTILE.INC(('METCM (from METGM)'!J8,'METCM (from METGM)'!J17,'METCM (from METGM)'!J26,'METCM (from METGM)'!J35,'METCM (from METGM)'!J44,'METCM (from METGM)'!J53),3)</f>
        <v>188.67175724999998</v>
      </c>
      <c r="N98" s="89">
        <f ca="1">_xlfn.QUARTILE.INC(('METCM (from METGM)'!K8,'METCM (from METGM)'!K17,'METCM (from METGM)'!K26,'METCM (from METGM)'!K35,'METCM (from METGM)'!K44,'METCM (from METGM)'!K53),3)</f>
        <v>38.437298249999998</v>
      </c>
    </row>
    <row r="99" spans="1:14">
      <c r="A99" s="63"/>
      <c r="B99" s="196"/>
      <c r="C99" s="196"/>
      <c r="D99" s="200"/>
      <c r="E99" s="204"/>
      <c r="F99" s="200"/>
      <c r="G99" s="196"/>
      <c r="H99" s="123" t="s">
        <v>224</v>
      </c>
      <c r="I99" s="113">
        <f ca="1">I98-I97</f>
        <v>2.8280842500000176</v>
      </c>
      <c r="J99" s="134">
        <f ca="1">J98-J97</f>
        <v>6.0329039999999949</v>
      </c>
      <c r="K99" s="113">
        <f t="shared" ref="K99:N99" ca="1" si="70">K98-K97</f>
        <v>2.759693249999998</v>
      </c>
      <c r="L99" s="134">
        <f t="shared" ca="1" si="70"/>
        <v>6.4797342499999999</v>
      </c>
      <c r="M99" s="113">
        <f t="shared" ca="1" si="70"/>
        <v>88.591294999999974</v>
      </c>
      <c r="N99" s="89">
        <f t="shared" ca="1" si="70"/>
        <v>9.2352099999999986</v>
      </c>
    </row>
    <row r="100" spans="1:14">
      <c r="A100" s="63"/>
      <c r="B100" s="196"/>
      <c r="C100" s="196"/>
      <c r="D100" s="200"/>
      <c r="E100" s="204"/>
      <c r="F100" s="200"/>
      <c r="G100" s="196"/>
      <c r="H100" s="123" t="s">
        <v>225</v>
      </c>
      <c r="I100" s="113">
        <f>I94-_xlfn.CONFIDENCE.T(0.05,I95,I93)</f>
        <v>173.83239765382899</v>
      </c>
      <c r="J100" s="134">
        <f>J94-_xlfn.CONFIDENCE.T(0.05,J95,J93)</f>
        <v>30.389212902692076</v>
      </c>
      <c r="K100" s="113">
        <f t="shared" ref="K100:N100" si="71">K94-_xlfn.CONFIDENCE.T(0.05,K95,K93)</f>
        <v>179.42444814695551</v>
      </c>
      <c r="L100" s="134">
        <f t="shared" ref="L100" si="72">L94-_xlfn.CONFIDENCE.T(0.05,L95,L93)</f>
        <v>30.2649343183264</v>
      </c>
      <c r="M100" s="113">
        <f t="shared" si="71"/>
        <v>85.892264636034412</v>
      </c>
      <c r="N100" s="89">
        <f t="shared" ref="N100" si="73">N94-_xlfn.CONFIDENCE.T(0.05,N95,N93)</f>
        <v>28.317584708435227</v>
      </c>
    </row>
    <row r="101" spans="1:14">
      <c r="A101" s="63"/>
      <c r="B101" s="196"/>
      <c r="C101" s="196"/>
      <c r="D101" s="200"/>
      <c r="E101" s="204"/>
      <c r="F101" s="200"/>
      <c r="G101" s="196"/>
      <c r="H101" s="123" t="s">
        <v>226</v>
      </c>
      <c r="I101" s="113">
        <f>I94+_xlfn.CONFIDENCE.T(0.05,I95,I93)</f>
        <v>191.68113867950433</v>
      </c>
      <c r="J101" s="134">
        <f>J94+_xlfn.CONFIDENCE.T(0.05,J95,J93)</f>
        <v>38.548313097307933</v>
      </c>
      <c r="K101" s="113">
        <f t="shared" ref="K101:N101" si="74">K94+_xlfn.CONFIDENCE.T(0.05,K95,K93)</f>
        <v>184.0537185197112</v>
      </c>
      <c r="L101" s="134">
        <f t="shared" ref="L101" si="75">L94+_xlfn.CONFIDENCE.T(0.05,L95,L93)</f>
        <v>38.706913681673605</v>
      </c>
      <c r="M101" s="113">
        <f t="shared" si="74"/>
        <v>212.22513569729895</v>
      </c>
      <c r="N101" s="89">
        <f t="shared" ref="N101" si="76">N94+_xlfn.CONFIDENCE.T(0.05,N95,N93)</f>
        <v>39.651496624898108</v>
      </c>
    </row>
    <row r="102" spans="1:14">
      <c r="A102" s="46"/>
      <c r="B102" s="196"/>
      <c r="C102" s="196"/>
      <c r="D102" s="200"/>
      <c r="E102" s="206" t="s">
        <v>47</v>
      </c>
      <c r="F102" s="200"/>
      <c r="G102" s="196"/>
      <c r="H102" s="123" t="s">
        <v>217</v>
      </c>
      <c r="I102" s="97">
        <f>COUNT('METCM (from METGM)'!J9,'METCM (from METGM)'!J18,'METCM (from METGM)'!J27,'METCM (from METGM)'!J36,'METCM (from METGM)'!J45,'METCM (from METGM)'!J54)</f>
        <v>6</v>
      </c>
      <c r="J102" s="135">
        <f>COUNT('METCM (from METGM)'!K9,'METCM (from METGM)'!K18,'METCM (from METGM)'!K27,'METCM (from METGM)'!K36,'METCM (from METGM)'!K45,'METCM (from METGM)'!K54)</f>
        <v>6</v>
      </c>
      <c r="K102" s="97">
        <f>COUNT('METCM (from METGM)'!J10,'METCM (from METGM)'!J19,'METCM (from METGM)'!J28,'METCM (from METGM)'!J37,'METCM (from METGM)'!J46,'METCM (from METGM)'!J55)</f>
        <v>6</v>
      </c>
      <c r="L102" s="135">
        <f>COUNT('METCM (from METGM)'!K10,'METCM (from METGM)'!K19,'METCM (from METGM)'!K28,'METCM (from METGM)'!K37,'METCM (from METGM)'!K46,'METCM (from METGM)'!K55)</f>
        <v>6</v>
      </c>
      <c r="M102" s="97">
        <f>COUNT('METCM (from METGM)'!J11,'METCM (from METGM)'!J20,'METCM (from METGM)'!J29,'METCM (from METGM)'!J38,'METCM (from METGM)'!J47,'METCM (from METGM)'!J56)</f>
        <v>6</v>
      </c>
      <c r="N102" s="90">
        <f>COUNT('METCM (from METGM)'!K11,'METCM (from METGM)'!K20,'METCM (from METGM)'!K29,'METCM (from METGM)'!K38,'METCM (from METGM)'!K47,'METCM (from METGM)'!K56)</f>
        <v>6</v>
      </c>
    </row>
    <row r="103" spans="1:14">
      <c r="A103" s="46"/>
      <c r="B103" s="196"/>
      <c r="C103" s="196"/>
      <c r="D103" s="200"/>
      <c r="E103" s="206"/>
      <c r="F103" s="200"/>
      <c r="G103" s="196"/>
      <c r="H103" s="123" t="s">
        <v>218</v>
      </c>
      <c r="I103" s="114">
        <f>AVERAGE('METCM (from METGM)'!J9,'METCM (from METGM)'!J18,'METCM (from METGM)'!J27,'METCM (from METGM)'!J36,'METCM (from METGM)'!J45,'METCM (from METGM)'!J54)</f>
        <v>344.26014149999997</v>
      </c>
      <c r="J103" s="136">
        <f>AVERAGE('METCM (from METGM)'!K9,'METCM (from METGM)'!K18,'METCM (from METGM)'!K27,'METCM (from METGM)'!K36,'METCM (from METGM)'!K45,'METCM (from METGM)'!K54)</f>
        <v>60.127643666666664</v>
      </c>
      <c r="K103" s="114">
        <f>AVERAGE('METCM (from METGM)'!J10,'METCM (from METGM)'!J19,'METCM (from METGM)'!J28,'METCM (from METGM)'!J37,'METCM (from METGM)'!J46,'METCM (from METGM)'!J55)</f>
        <v>342.29478450000005</v>
      </c>
      <c r="L103" s="136">
        <f>AVERAGE('METCM (from METGM)'!K10,'METCM (from METGM)'!K19,'METCM (from METGM)'!K28,'METCM (from METGM)'!K37,'METCM (from METGM)'!K46,'METCM (from METGM)'!K55)</f>
        <v>60.254354333333339</v>
      </c>
      <c r="M103" s="114">
        <f>AVERAGE('METCM (from METGM)'!J11,'METCM (from METGM)'!J20,'METCM (from METGM)'!J29,'METCM (from METGM)'!J38,'METCM (from METGM)'!J47,'METCM (from METGM)'!J56)</f>
        <v>276.41426933333332</v>
      </c>
      <c r="N103" s="103">
        <f>AVERAGE('METCM (from METGM)'!K11,'METCM (from METGM)'!K20,'METCM (from METGM)'!K29,'METCM (from METGM)'!K38,'METCM (from METGM)'!K47,'METCM (from METGM)'!K56)</f>
        <v>59.789668666666671</v>
      </c>
    </row>
    <row r="104" spans="1:14">
      <c r="A104" s="46"/>
      <c r="B104" s="196"/>
      <c r="C104" s="196"/>
      <c r="D104" s="200"/>
      <c r="E104" s="206"/>
      <c r="F104" s="200"/>
      <c r="G104" s="196"/>
      <c r="H104" s="123" t="s">
        <v>219</v>
      </c>
      <c r="I104" s="114">
        <f>_xlfn.STDEV.S('METCM (from METGM)'!J9,'METCM (from METGM)'!J18,'METCM (from METGM)'!J27,'METCM (from METGM)'!J36,'METCM (from METGM)'!J45,'METCM (from METGM)'!J54)</f>
        <v>17.434424054035631</v>
      </c>
      <c r="J104" s="136">
        <f>_xlfn.STDEV.S('METCM (from METGM)'!K9,'METCM (from METGM)'!K18,'METCM (from METGM)'!K27,'METCM (from METGM)'!K36,'METCM (from METGM)'!K45,'METCM (from METGM)'!K54)</f>
        <v>23.700445714076352</v>
      </c>
      <c r="K104" s="114">
        <f>_xlfn.STDEV.S('METCM (from METGM)'!J10,'METCM (from METGM)'!J19,'METCM (from METGM)'!J28,'METCM (from METGM)'!J37,'METCM (from METGM)'!J46,'METCM (from METGM)'!J55)</f>
        <v>8.6809009224064493</v>
      </c>
      <c r="L104" s="136">
        <f>_xlfn.STDEV.S('METCM (from METGM)'!K10,'METCM (from METGM)'!K19,'METCM (from METGM)'!K28,'METCM (from METGM)'!K37,'METCM (from METGM)'!K46,'METCM (from METGM)'!K55)</f>
        <v>24.059196252787206</v>
      </c>
      <c r="M104" s="114">
        <f>_xlfn.STDEV.S('METCM (from METGM)'!J11,'METCM (from METGM)'!J20,'METCM (from METGM)'!J29,'METCM (from METGM)'!J38,'METCM (from METGM)'!J47,'METCM (from METGM)'!J56)</f>
        <v>122.33868252906635</v>
      </c>
      <c r="N104" s="103">
        <f>_xlfn.STDEV.S('METCM (from METGM)'!K11,'METCM (from METGM)'!K20,'METCM (from METGM)'!K29,'METCM (from METGM)'!K38,'METCM (from METGM)'!K47,'METCM (from METGM)'!K56)</f>
        <v>26.435133335879307</v>
      </c>
    </row>
    <row r="105" spans="1:14">
      <c r="A105" s="46"/>
      <c r="B105" s="196"/>
      <c r="C105" s="196"/>
      <c r="D105" s="200"/>
      <c r="E105" s="206"/>
      <c r="F105" s="200"/>
      <c r="G105" s="196"/>
      <c r="H105" s="123" t="s">
        <v>220</v>
      </c>
      <c r="I105" s="97">
        <f>MEDIAN('METCM (from METGM)'!J9,'METCM (from METGM)'!J18,'METCM (from METGM)'!J27,'METCM (from METGM)'!J36,'METCM (from METGM)'!J45,'METCM (from METGM)'!J54)</f>
        <v>338.02975349999997</v>
      </c>
      <c r="J105" s="135">
        <f>MEDIAN('METCM (from METGM)'!K9,'METCM (from METGM)'!K18,'METCM (from METGM)'!K27,'METCM (from METGM)'!K36,'METCM (from METGM)'!K45,'METCM (from METGM)'!K54)</f>
        <v>53.154975</v>
      </c>
      <c r="K105" s="97">
        <f>MEDIAN('METCM (from METGM)'!J10,'METCM (from METGM)'!J19,'METCM (from METGM)'!J28,'METCM (from METGM)'!J37,'METCM (from METGM)'!J46,'METCM (from METGM)'!J55)</f>
        <v>341.58855349999999</v>
      </c>
      <c r="L105" s="135">
        <f>MEDIAN('METCM (from METGM)'!K10,'METCM (from METGM)'!K19,'METCM (from METGM)'!K28,'METCM (from METGM)'!K37,'METCM (from METGM)'!K46,'METCM (from METGM)'!K55)</f>
        <v>53.370551000000006</v>
      </c>
      <c r="M105" s="97">
        <f>MEDIAN('METCM (from METGM)'!J11,'METCM (from METGM)'!J20,'METCM (from METGM)'!J29,'METCM (from METGM)'!J38,'METCM (from METGM)'!J47,'METCM (from METGM)'!J56)</f>
        <v>348.33864249999999</v>
      </c>
      <c r="N105" s="90">
        <f>MEDIAN('METCM (from METGM)'!K11,'METCM (from METGM)'!K20,'METCM (from METGM)'!K29,'METCM (from METGM)'!K38,'METCM (from METGM)'!K47,'METCM (from METGM)'!K56)</f>
        <v>54.208579499999999</v>
      </c>
    </row>
    <row r="106" spans="1:14">
      <c r="A106" s="46"/>
      <c r="B106" s="196"/>
      <c r="C106" s="196"/>
      <c r="D106" s="200"/>
      <c r="E106" s="206"/>
      <c r="F106" s="200"/>
      <c r="G106" s="196"/>
      <c r="H106" s="123" t="s">
        <v>221</v>
      </c>
      <c r="I106" s="115">
        <f ca="1">_xlfn.QUARTILE.INC(('METCM (from METGM)'!J9,'METCM (from METGM)'!J18,'METCM (from METGM)'!J27,'METCM (from METGM)'!J36,'METCM (from METGM)'!J45,'METCM (from METGM)'!J54),1)</f>
        <v>332.84921050000003</v>
      </c>
      <c r="J106" s="137">
        <f ca="1">_xlfn.QUARTILE.INC(('METCM (from METGM)'!K9,'METCM (from METGM)'!K18,'METCM (from METGM)'!K27,'METCM (from METGM)'!K36,'METCM (from METGM)'!K45,'METCM (from METGM)'!K54),1)</f>
        <v>45.043583749999996</v>
      </c>
      <c r="K106" s="115">
        <f ca="1">_xlfn.QUARTILE.INC(('METCM (from METGM)'!J10,'METCM (from METGM)'!J19,'METCM (from METGM)'!J28,'METCM (from METGM)'!J37,'METCM (from METGM)'!J46,'METCM (from METGM)'!J55),1)</f>
        <v>336.49158625000001</v>
      </c>
      <c r="L106" s="137">
        <f ca="1">_xlfn.QUARTILE.INC(('METCM (from METGM)'!K10,'METCM (from METGM)'!K19,'METCM (from METGM)'!K28,'METCM (from METGM)'!K37,'METCM (from METGM)'!K46,'METCM (from METGM)'!K55),1)</f>
        <v>44.500759250000002</v>
      </c>
      <c r="M106" s="115">
        <f ca="1">_xlfn.QUARTILE.INC(('METCM (from METGM)'!J11,'METCM (from METGM)'!J20,'METCM (from METGM)'!J29,'METCM (from METGM)'!J38,'METCM (from METGM)'!J47,'METCM (from METGM)'!J56),1)</f>
        <v>175.97716</v>
      </c>
      <c r="N106" s="91">
        <f ca="1">_xlfn.QUARTILE.INC(('METCM (from METGM)'!K11,'METCM (from METGM)'!K20,'METCM (from METGM)'!K29,'METCM (from METGM)'!K38,'METCM (from METGM)'!K47,'METCM (from METGM)'!K56),1)</f>
        <v>40.505792749999998</v>
      </c>
    </row>
    <row r="107" spans="1:14">
      <c r="A107" s="46"/>
      <c r="B107" s="196"/>
      <c r="C107" s="196"/>
      <c r="D107" s="200"/>
      <c r="E107" s="206"/>
      <c r="F107" s="200"/>
      <c r="G107" s="196"/>
      <c r="H107" s="123" t="s">
        <v>222</v>
      </c>
      <c r="I107" s="115">
        <f ca="1">_xlfn.QUARTILE.INC(('METCM (from METGM)'!J9,'METCM (from METGM)'!J18,'METCM (from METGM)'!J27,'METCM (from METGM)'!J36,'METCM (from METGM)'!J45,'METCM (from METGM)'!J54),3)</f>
        <v>350.10590974999997</v>
      </c>
      <c r="J107" s="137">
        <f ca="1">_xlfn.QUARTILE.INC(('METCM (from METGM)'!K9,'METCM (from METGM)'!K18,'METCM (from METGM)'!K27,'METCM (from METGM)'!K36,'METCM (from METGM)'!K45,'METCM (from METGM)'!K54),3)</f>
        <v>64.017485500000006</v>
      </c>
      <c r="K107" s="115">
        <f ca="1">_xlfn.QUARTILE.INC(('METCM (from METGM)'!J10,'METCM (from METGM)'!J19,'METCM (from METGM)'!J28,'METCM (from METGM)'!J37,'METCM (from METGM)'!J46,'METCM (from METGM)'!J55),3)</f>
        <v>345.211749</v>
      </c>
      <c r="L107" s="137">
        <f ca="1">_xlfn.QUARTILE.INC(('METCM (from METGM)'!K10,'METCM (from METGM)'!K19,'METCM (from METGM)'!K28,'METCM (from METGM)'!K37,'METCM (from METGM)'!K46,'METCM (from METGM)'!K55),3)</f>
        <v>64.349932249999995</v>
      </c>
      <c r="M107" s="115">
        <f ca="1">_xlfn.QUARTILE.INC(('METCM (from METGM)'!J11,'METCM (from METGM)'!J20,'METCM (from METGM)'!J29,'METCM (from METGM)'!J38,'METCM (from METGM)'!J47,'METCM (from METGM)'!J56),3)</f>
        <v>352.04875225000001</v>
      </c>
      <c r="N107" s="91">
        <f ca="1">_xlfn.QUARTILE.INC(('METCM (from METGM)'!K11,'METCM (from METGM)'!K20,'METCM (from METGM)'!K29,'METCM (from METGM)'!K38,'METCM (from METGM)'!K47,'METCM (from METGM)'!K56),3)</f>
        <v>65.639131750000004</v>
      </c>
    </row>
    <row r="108" spans="1:14">
      <c r="A108" s="46"/>
      <c r="B108" s="196"/>
      <c r="C108" s="196"/>
      <c r="D108" s="200"/>
      <c r="E108" s="206"/>
      <c r="F108" s="200"/>
      <c r="G108" s="196"/>
      <c r="H108" s="123" t="s">
        <v>224</v>
      </c>
      <c r="I108" s="115">
        <f ca="1">I107-I106</f>
        <v>17.25669924999994</v>
      </c>
      <c r="J108" s="137">
        <f ca="1">J107-J106</f>
        <v>18.97390175000001</v>
      </c>
      <c r="K108" s="115">
        <f t="shared" ref="K108:N108" ca="1" si="77">K107-K106</f>
        <v>8.7201627499999859</v>
      </c>
      <c r="L108" s="137">
        <f t="shared" ca="1" si="77"/>
        <v>19.849172999999993</v>
      </c>
      <c r="M108" s="115">
        <f t="shared" ca="1" si="77"/>
        <v>176.07159225000001</v>
      </c>
      <c r="N108" s="91">
        <f t="shared" ca="1" si="77"/>
        <v>25.133339000000007</v>
      </c>
    </row>
    <row r="109" spans="1:14">
      <c r="A109" s="46"/>
      <c r="B109" s="196"/>
      <c r="C109" s="196"/>
      <c r="D109" s="200"/>
      <c r="E109" s="206"/>
      <c r="F109" s="200"/>
      <c r="G109" s="196"/>
      <c r="H109" s="123" t="s">
        <v>225</v>
      </c>
      <c r="I109" s="115">
        <f>I103-_xlfn.CONFIDENCE.T(0.05,I104,I102)</f>
        <v>325.96383553663514</v>
      </c>
      <c r="J109" s="137">
        <f>J103-_xlfn.CONFIDENCE.T(0.05,J104,J102)</f>
        <v>35.255551252894904</v>
      </c>
      <c r="K109" s="115">
        <f t="shared" ref="K109:N109" si="78">K103-_xlfn.CONFIDENCE.T(0.05,K104,K102)</f>
        <v>333.1847376856208</v>
      </c>
      <c r="L109" s="137">
        <f t="shared" ref="L109" si="79">L103-_xlfn.CONFIDENCE.T(0.05,L104,L102)</f>
        <v>35.005776318406518</v>
      </c>
      <c r="M109" s="115">
        <f t="shared" si="78"/>
        <v>148.02769574941087</v>
      </c>
      <c r="N109" s="91">
        <f t="shared" ref="N109" si="80">N103-_xlfn.CONFIDENCE.T(0.05,N104,N102)</f>
        <v>32.047697598592499</v>
      </c>
    </row>
    <row r="110" spans="1:14">
      <c r="A110" s="93"/>
      <c r="B110" s="203"/>
      <c r="C110" s="203"/>
      <c r="D110" s="205"/>
      <c r="E110" s="208"/>
      <c r="F110" s="205"/>
      <c r="G110" s="203"/>
      <c r="H110" s="142" t="s">
        <v>226</v>
      </c>
      <c r="I110" s="143">
        <f>I103+_xlfn.CONFIDENCE.T(0.05,I104,I102)</f>
        <v>362.5564474633648</v>
      </c>
      <c r="J110" s="145">
        <f>J103+_xlfn.CONFIDENCE.T(0.05,J104,J102)</f>
        <v>84.999736080438424</v>
      </c>
      <c r="K110" s="143">
        <f t="shared" ref="K110:N110" si="81">K103+_xlfn.CONFIDENCE.T(0.05,K104,K102)</f>
        <v>351.40483131437929</v>
      </c>
      <c r="L110" s="145">
        <f t="shared" ref="L110" si="82">L103+_xlfn.CONFIDENCE.T(0.05,L104,L102)</f>
        <v>85.50293234826016</v>
      </c>
      <c r="M110" s="143">
        <f t="shared" si="81"/>
        <v>404.80084291725575</v>
      </c>
      <c r="N110" s="144">
        <f t="shared" ref="N110" si="83">N103+_xlfn.CONFIDENCE.T(0.05,N104,N102)</f>
        <v>87.53163973474085</v>
      </c>
    </row>
    <row r="111" spans="1:14">
      <c r="A111" s="61"/>
      <c r="B111" s="195" t="s">
        <v>29</v>
      </c>
      <c r="C111" s="195" t="s">
        <v>11</v>
      </c>
      <c r="D111" s="198" t="s">
        <v>26</v>
      </c>
      <c r="E111" s="198" t="s">
        <v>40</v>
      </c>
      <c r="F111" s="202" t="s">
        <v>229</v>
      </c>
      <c r="G111" s="195">
        <v>15990</v>
      </c>
      <c r="H111" s="122" t="s">
        <v>217</v>
      </c>
      <c r="I111" s="107">
        <f>COUNT('METCM (from METGC)'!J3,'METCM (from METGC)'!J12,'METCM (from METGC)'!J21,'METCM (from METGC)'!J30,'METCM (from METGC)'!J39,'METCM (from METGC)'!J48)</f>
        <v>6</v>
      </c>
      <c r="J111" s="127">
        <f>COUNT('METCM (from METGC)'!K3,'METCM (from METGC)'!K12,'METCM (from METGC)'!K21,'METCM (from METGC)'!K30,'METCM (from METGC)'!K39,'METCM (from METGC)'!K48)</f>
        <v>6</v>
      </c>
      <c r="K111" s="107">
        <f>COUNT('METCM (from METGC)'!J4,'METCM (from METGC)'!J13,'METCM (from METGC)'!J22,'METCM (from METGC)'!J31,'METCM (from METGC)'!J40,'METCM (from METGC)'!J49)</f>
        <v>6</v>
      </c>
      <c r="L111" s="127">
        <f>COUNT('METCM (from METGC)'!K4,'METCM (from METGC)'!K13,'METCM (from METGC)'!K22,'METCM (from METGC)'!K31,'METCM (from METGC)'!K40,'METCM (from METGC)'!K49)</f>
        <v>6</v>
      </c>
      <c r="M111" s="107">
        <f>COUNT('METCM (from METGC)'!J5,'METCM (from METGC)'!J14,'METCM (from METGC)'!J23,'METCM (from METGC)'!J32,'METCM (from METGC)'!J41,'METCM (from METGC)'!J50)</f>
        <v>6</v>
      </c>
      <c r="N111" s="85">
        <f>COUNT('METCM (from METGC)'!K5,'METCM (from METGC)'!K14,'METCM (from METGC)'!K23,'METCM (from METGC)'!K32,'METCM (from METGC)'!K41,'METCM (from METGC)'!K50)</f>
        <v>6</v>
      </c>
    </row>
    <row r="112" spans="1:14">
      <c r="A112" s="62"/>
      <c r="B112" s="196"/>
      <c r="C112" s="196"/>
      <c r="D112" s="199"/>
      <c r="E112" s="199"/>
      <c r="F112" s="200"/>
      <c r="G112" s="196"/>
      <c r="H112" s="123" t="s">
        <v>218</v>
      </c>
      <c r="I112" s="109">
        <f>AVERAGE('METCM (from METGC)'!J3,'METCM (from METGC)'!J12,'METCM (from METGC)'!J21,'METCM (from METGC)'!J30,'METCM (from METGC)'!J39,'METCM (from METGC)'!J48)</f>
        <v>81.250996499999999</v>
      </c>
      <c r="J112" s="128">
        <f>AVERAGE('METCM (from METGC)'!K3,'METCM (from METGC)'!K12,'METCM (from METGC)'!K21,'METCM (from METGC)'!K30,'METCM (from METGC)'!K39,'METCM (from METGC)'!K48)</f>
        <v>21.532237666666664</v>
      </c>
      <c r="K112" s="109">
        <f>AVERAGE('METCM (from METGC)'!J4,'METCM (from METGC)'!J13,'METCM (from METGC)'!J22,'METCM (from METGC)'!J31,'METCM (from METGC)'!J40,'METCM (from METGC)'!J49)</f>
        <v>81.470614833333343</v>
      </c>
      <c r="L112" s="128">
        <f>AVERAGE('METCM (from METGC)'!K4,'METCM (from METGC)'!K13,'METCM (from METGC)'!K22,'METCM (from METGC)'!K31,'METCM (from METGC)'!K40,'METCM (from METGC)'!K49)</f>
        <v>21.541807666666671</v>
      </c>
      <c r="M112" s="109">
        <f>AVERAGE('METCM (from METGC)'!J5,'METCM (from METGC)'!J14,'METCM (from METGC)'!J23,'METCM (from METGC)'!J32,'METCM (from METGC)'!J41,'METCM (from METGC)'!J50)</f>
        <v>82.337907166666668</v>
      </c>
      <c r="N112" s="99">
        <f>AVERAGE('METCM (from METGC)'!K5,'METCM (from METGC)'!K14,'METCM (from METGC)'!K23,'METCM (from METGC)'!K32,'METCM (from METGC)'!K41,'METCM (from METGC)'!K50)</f>
        <v>21.579331</v>
      </c>
    </row>
    <row r="113" spans="1:14">
      <c r="A113" s="62"/>
      <c r="B113" s="196"/>
      <c r="C113" s="196"/>
      <c r="D113" s="199"/>
      <c r="E113" s="199"/>
      <c r="F113" s="200"/>
      <c r="G113" s="196"/>
      <c r="H113" s="123" t="s">
        <v>219</v>
      </c>
      <c r="I113" s="109">
        <f>_xlfn.STDEV.S('METCM (from METGC)'!J3,'METCM (from METGC)'!J12,'METCM (from METGC)'!J21,'METCM (from METGC)'!J30,'METCM (from METGC)'!J39,'METCM (from METGC)'!J48)</f>
        <v>53.163898444725262</v>
      </c>
      <c r="J113" s="128">
        <f>_xlfn.STDEV.S('METCM (from METGC)'!K3,'METCM (from METGC)'!K12,'METCM (from METGC)'!K21,'METCM (from METGC)'!K30,'METCM (from METGC)'!K39,'METCM (from METGC)'!K48)</f>
        <v>0.48379110184072999</v>
      </c>
      <c r="K113" s="109">
        <f>_xlfn.STDEV.S('METCM (from METGC)'!J4,'METCM (from METGC)'!J13,'METCM (from METGC)'!J22,'METCM (from METGC)'!J31,'METCM (from METGC)'!J40,'METCM (from METGC)'!J49)</f>
        <v>53.089291725496878</v>
      </c>
      <c r="L113" s="128">
        <f>_xlfn.STDEV.S('METCM (from METGC)'!K4,'METCM (from METGC)'!K13,'METCM (from METGC)'!K22,'METCM (from METGC)'!K31,'METCM (from METGC)'!K40,'METCM (from METGC)'!K49)</f>
        <v>0.48866203694196186</v>
      </c>
      <c r="M113" s="109">
        <f>_xlfn.STDEV.S('METCM (from METGC)'!J5,'METCM (from METGC)'!J14,'METCM (from METGC)'!J23,'METCM (from METGC)'!J32,'METCM (from METGC)'!J41,'METCM (from METGC)'!J50)</f>
        <v>52.79620788947814</v>
      </c>
      <c r="N113" s="99">
        <f>_xlfn.STDEV.S('METCM (from METGC)'!K5,'METCM (from METGC)'!K14,'METCM (from METGC)'!K23,'METCM (from METGC)'!K32,'METCM (from METGC)'!K41,'METCM (from METGC)'!K50)</f>
        <v>0.50852273784286139</v>
      </c>
    </row>
    <row r="114" spans="1:14">
      <c r="A114" s="62"/>
      <c r="B114" s="196"/>
      <c r="C114" s="196"/>
      <c r="D114" s="199"/>
      <c r="E114" s="199"/>
      <c r="F114" s="200"/>
      <c r="G114" s="196"/>
      <c r="H114" s="123" t="s">
        <v>220</v>
      </c>
      <c r="I114" s="118">
        <f>MEDIAN('METCM (from METGC)'!J3,'METCM (from METGC)'!J12,'METCM (from METGC)'!J21,'METCM (from METGC)'!J30,'METCM (from METGC)'!J39,'METCM (from METGC)'!J48)</f>
        <v>60.3375165</v>
      </c>
      <c r="J114" s="131">
        <f>MEDIAN('METCM (from METGC)'!K3,'METCM (from METGC)'!K12,'METCM (from METGC)'!K21,'METCM (from METGC)'!K30,'METCM (from METGC)'!K39,'METCM (from METGC)'!K48)</f>
        <v>21.654848999999999</v>
      </c>
      <c r="K114" s="118">
        <f>MEDIAN('METCM (from METGC)'!J4,'METCM (from METGC)'!J13,'METCM (from METGC)'!J22,'METCM (from METGC)'!J31,'METCM (from METGC)'!J40,'METCM (from METGC)'!J49)</f>
        <v>60.596620000000001</v>
      </c>
      <c r="L114" s="131">
        <f>MEDIAN('METCM (from METGC)'!K4,'METCM (from METGC)'!K13,'METCM (from METGC)'!K22,'METCM (from METGC)'!K31,'METCM (from METGC)'!K40,'METCM (from METGC)'!K49)</f>
        <v>21.660668000000001</v>
      </c>
      <c r="M114" s="118">
        <f>MEDIAN('METCM (from METGC)'!J5,'METCM (from METGC)'!J14,'METCM (from METGC)'!J23,'METCM (from METGC)'!J32,'METCM (from METGC)'!J41,'METCM (from METGC)'!J50)</f>
        <v>61.618264000000003</v>
      </c>
      <c r="N114" s="86">
        <f>MEDIAN('METCM (from METGC)'!K5,'METCM (from METGC)'!K14,'METCM (from METGC)'!K23,'METCM (from METGC)'!K32,'METCM (from METGC)'!K41,'METCM (from METGC)'!K50)</f>
        <v>21.683509999999998</v>
      </c>
    </row>
    <row r="115" spans="1:14">
      <c r="A115" s="62"/>
      <c r="B115" s="196"/>
      <c r="C115" s="196"/>
      <c r="D115" s="200"/>
      <c r="E115" s="199"/>
      <c r="F115" s="200"/>
      <c r="G115" s="196"/>
      <c r="H115" s="123" t="s">
        <v>221</v>
      </c>
      <c r="I115" s="119">
        <f ca="1">_xlfn.QUARTILE.INC(('METCM (from METGC)'!J3,'METCM (from METGC)'!J12,'METCM (from METGC)'!J21,'METCM (from METGC)'!J30,'METCM (from METGC)'!J39,'METCM (from METGC)'!J48),1)</f>
        <v>58.28670675</v>
      </c>
      <c r="J115" s="140">
        <f ca="1">_xlfn.QUARTILE.INC(('METCM (from METGC)'!K3,'METCM (from METGC)'!K12,'METCM (from METGC)'!K21,'METCM (from METGC)'!K30,'METCM (from METGC)'!K39,'METCM (from METGC)'!K48),1)</f>
        <v>21.127274</v>
      </c>
      <c r="K115" s="119">
        <f ca="1">_xlfn.QUARTILE.INC(('METCM (from METGC)'!J4,'METCM (from METGC)'!J13,'METCM (from METGC)'!J22,'METCM (from METGC)'!J31,'METCM (from METGC)'!J40,'METCM (from METGC)'!J49),1)</f>
        <v>58.5229645</v>
      </c>
      <c r="L115" s="140">
        <f ca="1">_xlfn.QUARTILE.INC(('METCM (from METGC)'!K4,'METCM (from METGC)'!K13,'METCM (from METGC)'!K22,'METCM (from METGC)'!K31,'METCM (from METGC)'!K40,'METCM (from METGC)'!K49),1)</f>
        <v>21.13365975</v>
      </c>
      <c r="M115" s="119">
        <f ca="1">_xlfn.QUARTILE.INC(('METCM (from METGC)'!J5,'METCM (from METGC)'!J14,'METCM (from METGC)'!J23,'METCM (from METGC)'!J32,'METCM (from METGC)'!J41,'METCM (from METGC)'!J50),1)</f>
        <v>59.45688475</v>
      </c>
      <c r="N115" s="87">
        <f ca="1">_xlfn.QUARTILE.INC(('METCM (from METGC)'!K5,'METCM (from METGC)'!K14,'METCM (from METGC)'!K23,'METCM (from METGC)'!K32,'METCM (from METGC)'!K41,'METCM (from METGC)'!K50),1)</f>
        <v>21.1587155</v>
      </c>
    </row>
    <row r="116" spans="1:14">
      <c r="A116" s="62"/>
      <c r="B116" s="196"/>
      <c r="C116" s="196"/>
      <c r="D116" s="200"/>
      <c r="E116" s="199"/>
      <c r="F116" s="200"/>
      <c r="G116" s="196"/>
      <c r="H116" s="123" t="s">
        <v>222</v>
      </c>
      <c r="I116" s="119">
        <f ca="1">_xlfn.QUARTILE.INC(('METCM (from METGC)'!J3,'METCM (from METGC)'!J12,'METCM (from METGC)'!J21,'METCM (from METGC)'!J30,'METCM (from METGC)'!J39,'METCM (from METGC)'!J48),3)</f>
        <v>61.622442749999998</v>
      </c>
      <c r="J116" s="140">
        <f ca="1">_xlfn.QUARTILE.INC(('METCM (from METGC)'!K3,'METCM (from METGC)'!K12,'METCM (from METGC)'!K21,'METCM (from METGC)'!K30,'METCM (from METGC)'!K39,'METCM (from METGC)'!K48),3)</f>
        <v>21.894101500000001</v>
      </c>
      <c r="K116" s="119">
        <f ca="1">_xlfn.QUARTILE.INC(('METCM (from METGC)'!J4,'METCM (from METGC)'!J13,'METCM (from METGC)'!J22,'METCM (from METGC)'!J31,'METCM (from METGC)'!J40,'METCM (from METGC)'!J49),3)</f>
        <v>61.895664999999994</v>
      </c>
      <c r="L116" s="140">
        <f ca="1">_xlfn.QUARTILE.INC(('METCM (from METGC)'!K4,'METCM (from METGC)'!K13,'METCM (from METGC)'!K22,'METCM (from METGC)'!K31,'METCM (from METGC)'!K40,'METCM (from METGC)'!K49),3)</f>
        <v>21.907641249999998</v>
      </c>
      <c r="M116" s="119">
        <f ca="1">_xlfn.QUARTILE.INC(('METCM (from METGC)'!J5,'METCM (from METGC)'!J14,'METCM (from METGC)'!J23,'METCM (from METGC)'!J32,'METCM (from METGC)'!J41,'METCM (from METGC)'!J50),3)</f>
        <v>62.97151375</v>
      </c>
      <c r="N116" s="87">
        <f ca="1">_xlfn.QUARTILE.INC(('METCM (from METGC)'!K5,'METCM (from METGC)'!K14,'METCM (from METGC)'!K23,'METCM (from METGC)'!K32,'METCM (from METGC)'!K41,'METCM (from METGC)'!K50),3)</f>
        <v>21.96071675</v>
      </c>
    </row>
    <row r="117" spans="1:14">
      <c r="A117" s="62"/>
      <c r="B117" s="196"/>
      <c r="C117" s="196"/>
      <c r="D117" s="200"/>
      <c r="E117" s="199"/>
      <c r="F117" s="200"/>
      <c r="G117" s="196">
        <v>3000</v>
      </c>
      <c r="H117" s="123" t="s">
        <v>224</v>
      </c>
      <c r="I117" s="118">
        <f ca="1">I116-I115</f>
        <v>3.3357359999999971</v>
      </c>
      <c r="J117" s="131">
        <f ca="1">J116-J115</f>
        <v>0.76682750000000155</v>
      </c>
      <c r="K117" s="118">
        <f t="shared" ref="K117:N117" ca="1" si="84">K116-K115</f>
        <v>3.3727004999999934</v>
      </c>
      <c r="L117" s="131">
        <f t="shared" ca="1" si="84"/>
        <v>0.77398149999999788</v>
      </c>
      <c r="M117" s="118">
        <f t="shared" ca="1" si="84"/>
        <v>3.5146289999999993</v>
      </c>
      <c r="N117" s="86">
        <f t="shared" ca="1" si="84"/>
        <v>0.80200125</v>
      </c>
    </row>
    <row r="118" spans="1:14">
      <c r="A118" s="62"/>
      <c r="B118" s="196"/>
      <c r="C118" s="196"/>
      <c r="D118" s="200"/>
      <c r="E118" s="199"/>
      <c r="F118" s="200"/>
      <c r="G118" s="196"/>
      <c r="H118" s="123" t="s">
        <v>225</v>
      </c>
      <c r="I118" s="118">
        <f>I112-_xlfn.CONFIDENCE.T(0.05,I113,I111)</f>
        <v>25.458906716294599</v>
      </c>
      <c r="J118" s="131">
        <f>J112-_xlfn.CONFIDENCE.T(0.05,J113,J111)</f>
        <v>21.024530042130454</v>
      </c>
      <c r="K118" s="118">
        <f t="shared" ref="K118:N118" si="85">K112-_xlfn.CONFIDENCE.T(0.05,K113,K111)</f>
        <v>25.756819999761923</v>
      </c>
      <c r="L118" s="131">
        <f t="shared" ref="L118" si="86">L112-_xlfn.CONFIDENCE.T(0.05,L113,L111)</f>
        <v>21.028988309235608</v>
      </c>
      <c r="M118" s="118">
        <f t="shared" si="85"/>
        <v>26.931684956090741</v>
      </c>
      <c r="N118" s="86">
        <f t="shared" ref="N118" si="87">N112-_xlfn.CONFIDENCE.T(0.05,N113,N111)</f>
        <v>21.04566911521022</v>
      </c>
    </row>
    <row r="119" spans="1:14">
      <c r="A119" s="62"/>
      <c r="B119" s="196"/>
      <c r="C119" s="196"/>
      <c r="D119" s="200"/>
      <c r="E119" s="199"/>
      <c r="F119" s="200"/>
      <c r="G119" s="196"/>
      <c r="H119" s="123" t="s">
        <v>226</v>
      </c>
      <c r="I119" s="118">
        <f>I112+_xlfn.CONFIDENCE.T(0.05,I113,I111)</f>
        <v>137.04308628370541</v>
      </c>
      <c r="J119" s="131">
        <f>J112+_xlfn.CONFIDENCE.T(0.05,J113,J111)</f>
        <v>22.039945291202873</v>
      </c>
      <c r="K119" s="118">
        <f t="shared" ref="K119:N119" si="88">K112+_xlfn.CONFIDENCE.T(0.05,K113,K111)</f>
        <v>137.18440966690477</v>
      </c>
      <c r="L119" s="131">
        <f t="shared" ref="L119" si="89">L112+_xlfn.CONFIDENCE.T(0.05,L113,L111)</f>
        <v>22.054627024097734</v>
      </c>
      <c r="M119" s="118">
        <f t="shared" si="88"/>
        <v>137.74412937724259</v>
      </c>
      <c r="N119" s="86">
        <f t="shared" ref="N119" si="90">N112+_xlfn.CONFIDENCE.T(0.05,N113,N111)</f>
        <v>22.112992884789779</v>
      </c>
    </row>
    <row r="120" spans="1:14">
      <c r="A120" s="63"/>
      <c r="B120" s="196"/>
      <c r="C120" s="196"/>
      <c r="D120" s="200"/>
      <c r="E120" s="204" t="s">
        <v>42</v>
      </c>
      <c r="F120" s="200"/>
      <c r="G120" s="196"/>
      <c r="H120" s="123" t="s">
        <v>217</v>
      </c>
      <c r="I120" s="111">
        <f>COUNT('METCM (from METGC)'!J6,'METCM (from METGC)'!J15,'METCM (from METGC)'!J24,'METCM (from METGC)'!J33,'METCM (from METGC)'!J42,'METCM (from METGC)'!J51)</f>
        <v>6</v>
      </c>
      <c r="J120" s="132">
        <f>COUNT('METCM (from METGC)'!K6,'METCM (from METGC)'!K15,'METCM (from METGC)'!K24,'METCM (from METGC)'!K33,'METCM (from METGC)'!K42,'METCM (from METGC)'!K51)</f>
        <v>6</v>
      </c>
      <c r="K120" s="111">
        <f>COUNT('METCM (from METGC)'!J7,'METCM (from METGC)'!J16,'METCM (from METGC)'!J25,'METCM (from METGC)'!J34,'METCM (from METGC)'!J43,'METCM (from METGC)'!J52)</f>
        <v>6</v>
      </c>
      <c r="L120" s="132">
        <f>COUNT('METCM (from METGC)'!K7,'METCM (from METGC)'!K16,'METCM (from METGC)'!K25,'METCM (from METGC)'!K34,'METCM (from METGC)'!K43,'METCM (from METGC)'!K52)</f>
        <v>6</v>
      </c>
      <c r="M120" s="111">
        <f>COUNT('METCM (from METGC)'!J8,'METCM (from METGC)'!J17,'METCM (from METGC)'!J26,'METCM (from METGC)'!J35,'METCM (from METGC)'!J44,'METCM (from METGC)'!J53)</f>
        <v>6</v>
      </c>
      <c r="N120" s="88">
        <f>COUNT('METCM (from METGC)'!K8,'METCM (from METGC)'!K17,'METCM (from METGC)'!K26,'METCM (from METGC)'!K35,'METCM (from METGC)'!K44,'METCM (from METGC)'!K53)</f>
        <v>6</v>
      </c>
    </row>
    <row r="121" spans="1:14">
      <c r="A121" s="63"/>
      <c r="B121" s="196"/>
      <c r="C121" s="196"/>
      <c r="D121" s="200"/>
      <c r="E121" s="204"/>
      <c r="F121" s="200"/>
      <c r="G121" s="196"/>
      <c r="H121" s="123" t="s">
        <v>218</v>
      </c>
      <c r="I121" s="112">
        <f>AVERAGE('METCM (from METGC)'!J6,'METCM (from METGC)'!J15,'METCM (from METGC)'!J24,'METCM (from METGC)'!J33,'METCM (from METGC)'!J42,'METCM (from METGC)'!J51)</f>
        <v>304.1065711666667</v>
      </c>
      <c r="J121" s="133">
        <f>AVERAGE('METCM (from METGC)'!K6,'METCM (from METGC)'!K15,'METCM (from METGC)'!K24,'METCM (from METGC)'!K33,'METCM (from METGC)'!K42,'METCM (from METGC)'!K51)</f>
        <v>38.017754000000004</v>
      </c>
      <c r="K121" s="112">
        <f>AVERAGE('METCM (from METGC)'!J7,'METCM (from METGC)'!J16,'METCM (from METGC)'!J25,'METCM (from METGC)'!J34,'METCM (from METGC)'!J43,'METCM (from METGC)'!J52)</f>
        <v>305.72026483333332</v>
      </c>
      <c r="L121" s="133">
        <f>AVERAGE('METCM (from METGC)'!K7,'METCM (from METGC)'!K16,'METCM (from METGC)'!K25,'METCM (from METGC)'!K34,'METCM (from METGC)'!K43,'METCM (from METGC)'!K52)</f>
        <v>38.109257333333332</v>
      </c>
      <c r="M121" s="112">
        <f>AVERAGE('METCM (from METGC)'!J8,'METCM (from METGC)'!J17,'METCM (from METGC)'!J26,'METCM (from METGC)'!J35,'METCM (from METGC)'!J44,'METCM (from METGC)'!J53)</f>
        <v>312.01566266666669</v>
      </c>
      <c r="N121" s="101">
        <f>AVERAGE('METCM (from METGC)'!K8,'METCM (from METGC)'!K17,'METCM (from METGC)'!K26,'METCM (from METGC)'!K35,'METCM (from METGC)'!K44,'METCM (from METGC)'!K53)</f>
        <v>38.465792666666665</v>
      </c>
    </row>
    <row r="122" spans="1:14">
      <c r="A122" s="63"/>
      <c r="B122" s="196"/>
      <c r="C122" s="196"/>
      <c r="D122" s="200"/>
      <c r="E122" s="204"/>
      <c r="F122" s="200"/>
      <c r="G122" s="196"/>
      <c r="H122" s="123" t="s">
        <v>219</v>
      </c>
      <c r="I122" s="112">
        <f>_xlfn.STDEV.S('METCM (from METGC)'!J6,'METCM (from METGC)'!J15,'METCM (from METGC)'!J24,'METCM (from METGC)'!J33,'METCM (from METGC)'!J42,'METCM (from METGC)'!J51)</f>
        <v>309.14603245566224</v>
      </c>
      <c r="J122" s="133">
        <f>_xlfn.STDEV.S('METCM (from METGC)'!K6,'METCM (from METGC)'!K15,'METCM (from METGC)'!K24,'METCM (from METGC)'!K33,'METCM (from METGC)'!K42,'METCM (from METGC)'!K51)</f>
        <v>8.0513177407880132</v>
      </c>
      <c r="K122" s="112">
        <f>_xlfn.STDEV.S('METCM (from METGC)'!J7,'METCM (from METGC)'!J16,'METCM (from METGC)'!J25,'METCM (from METGC)'!J34,'METCM (from METGC)'!J43,'METCM (from METGC)'!J52)</f>
        <v>308.52497556822181</v>
      </c>
      <c r="L122" s="133">
        <f>_xlfn.STDEV.S('METCM (from METGC)'!K7,'METCM (from METGC)'!K16,'METCM (from METGC)'!K25,'METCM (from METGC)'!K34,'METCM (from METGC)'!K43,'METCM (from METGC)'!K52)</f>
        <v>8.0358689886873247</v>
      </c>
      <c r="M122" s="112">
        <f>_xlfn.STDEV.S('METCM (from METGC)'!J8,'METCM (from METGC)'!J17,'METCM (from METGC)'!J26,'METCM (from METGC)'!J35,'METCM (from METGC)'!J44,'METCM (from METGC)'!J53)</f>
        <v>306.11818987392678</v>
      </c>
      <c r="N122" s="101">
        <f>_xlfn.STDEV.S('METCM (from METGC)'!K8,'METCM (from METGC)'!K17,'METCM (from METGC)'!K26,'METCM (from METGC)'!K35,'METCM (from METGC)'!K44,'METCM (from METGC)'!K53)</f>
        <v>7.9798315184927944</v>
      </c>
    </row>
    <row r="123" spans="1:14">
      <c r="A123" s="63"/>
      <c r="B123" s="196"/>
      <c r="C123" s="196"/>
      <c r="D123" s="200"/>
      <c r="E123" s="204"/>
      <c r="F123" s="200"/>
      <c r="G123" s="196"/>
      <c r="H123" s="123" t="s">
        <v>220</v>
      </c>
      <c r="I123" s="113">
        <f>MEDIAN('METCM (from METGC)'!J6,'METCM (from METGC)'!J15,'METCM (from METGC)'!J24,'METCM (from METGC)'!J33,'METCM (from METGC)'!J42,'METCM (from METGC)'!J51)</f>
        <v>179.06652450000001</v>
      </c>
      <c r="J123" s="134">
        <f>MEDIAN('METCM (from METGC)'!K6,'METCM (from METGC)'!K15,'METCM (from METGC)'!K24,'METCM (from METGC)'!K33,'METCM (from METGC)'!K42,'METCM (from METGC)'!K51)</f>
        <v>37.084690999999999</v>
      </c>
      <c r="K123" s="113">
        <f>MEDIAN('METCM (from METGC)'!J7,'METCM (from METGC)'!J16,'METCM (from METGC)'!J25,'METCM (from METGC)'!J34,'METCM (from METGC)'!J43,'METCM (from METGC)'!J52)</f>
        <v>180.93938</v>
      </c>
      <c r="L123" s="134">
        <f>MEDIAN('METCM (from METGC)'!K7,'METCM (from METGC)'!K16,'METCM (from METGC)'!K25,'METCM (from METGC)'!K34,'METCM (from METGC)'!K43,'METCM (from METGC)'!K52)</f>
        <v>37.2181785</v>
      </c>
      <c r="M123" s="113">
        <f>MEDIAN('METCM (from METGC)'!J8,'METCM (from METGC)'!J17,'METCM (from METGC)'!J26,'METCM (from METGC)'!J35,'METCM (from METGC)'!J44,'METCM (from METGC)'!J53)</f>
        <v>188.2386635</v>
      </c>
      <c r="N123" s="89">
        <f>MEDIAN('METCM (from METGC)'!K8,'METCM (from METGC)'!K17,'METCM (from METGC)'!K26,'METCM (from METGC)'!K35,'METCM (from METGC)'!K44,'METCM (from METGC)'!K53)</f>
        <v>37.737792499999998</v>
      </c>
    </row>
    <row r="124" spans="1:14">
      <c r="A124" s="63"/>
      <c r="B124" s="196"/>
      <c r="C124" s="196"/>
      <c r="D124" s="200"/>
      <c r="E124" s="204"/>
      <c r="F124" s="200"/>
      <c r="G124" s="196"/>
      <c r="H124" s="123" t="s">
        <v>221</v>
      </c>
      <c r="I124" s="113">
        <f ca="1">_xlfn.QUARTILE.INC(('METCM (from METGC)'!J6,'METCM (from METGC)'!J15,'METCM (from METGC)'!J24,'METCM (from METGC)'!J33,'METCM (from METGC)'!J42,'METCM (from METGC)'!J51),1)</f>
        <v>176.97826275</v>
      </c>
      <c r="J124" s="134">
        <f ca="1">_xlfn.QUARTILE.INC(('METCM (from METGC)'!K6,'METCM (from METGC)'!K15,'METCM (from METGC)'!K24,'METCM (from METGC)'!K33,'METCM (from METGC)'!K42,'METCM (from METGC)'!K51),1)</f>
        <v>33.683277750000002</v>
      </c>
      <c r="K124" s="113">
        <f ca="1">_xlfn.QUARTILE.INC(('METCM (from METGC)'!J7,'METCM (from METGC)'!J16,'METCM (from METGC)'!J25,'METCM (from METGC)'!J34,'METCM (from METGC)'!J43,'METCM (from METGC)'!J52),1)</f>
        <v>178.84103475000001</v>
      </c>
      <c r="L124" s="134">
        <f ca="1">_xlfn.QUARTILE.INC(('METCM (from METGC)'!K7,'METCM (from METGC)'!K16,'METCM (from METGC)'!K25,'METCM (from METGC)'!K34,'METCM (from METGC)'!K43,'METCM (from METGC)'!K52),1)</f>
        <v>33.775473000000005</v>
      </c>
      <c r="M124" s="113">
        <f ca="1">_xlfn.QUARTILE.INC(('METCM (from METGC)'!J8,'METCM (from METGC)'!J17,'METCM (from METGC)'!J26,'METCM (from METGC)'!J35,'METCM (from METGC)'!J44,'METCM (from METGC)'!J53),1)</f>
        <v>186.10203899999999</v>
      </c>
      <c r="N124" s="89">
        <f ca="1">_xlfn.QUARTILE.INC(('METCM (from METGC)'!K8,'METCM (from METGC)'!K17,'METCM (from METGC)'!K26,'METCM (from METGC)'!K35,'METCM (from METGC)'!K44,'METCM (from METGC)'!K53),1)</f>
        <v>34.135083000000002</v>
      </c>
    </row>
    <row r="125" spans="1:14">
      <c r="A125" s="63"/>
      <c r="B125" s="196"/>
      <c r="C125" s="196"/>
      <c r="D125" s="200"/>
      <c r="E125" s="204"/>
      <c r="F125" s="200"/>
      <c r="G125" s="196"/>
      <c r="H125" s="123" t="s">
        <v>222</v>
      </c>
      <c r="I125" s="113">
        <f ca="1">_xlfn.QUARTILE.INC(('METCM (from METGC)'!J6,'METCM (from METGC)'!J15,'METCM (from METGC)'!J24,'METCM (from METGC)'!J33,'METCM (from METGC)'!J42,'METCM (from METGC)'!J51),3)</f>
        <v>180.1672695</v>
      </c>
      <c r="J125" s="134">
        <f ca="1">_xlfn.QUARTILE.INC(('METCM (from METGC)'!K6,'METCM (from METGC)'!K15,'METCM (from METGC)'!K24,'METCM (from METGC)'!K33,'METCM (from METGC)'!K42,'METCM (from METGC)'!K51),3)</f>
        <v>38.831858499999996</v>
      </c>
      <c r="K125" s="113">
        <f ca="1">_xlfn.QUARTILE.INC(('METCM (from METGC)'!J7,'METCM (from METGC)'!J16,'METCM (from METGC)'!J25,'METCM (from METGC)'!J34,'METCM (from METGC)'!J43,'METCM (from METGC)'!J52),3)</f>
        <v>182.04548275000002</v>
      </c>
      <c r="L125" s="134">
        <f ca="1">_xlfn.QUARTILE.INC(('METCM (from METGC)'!K7,'METCM (from METGC)'!K16,'METCM (from METGC)'!K25,'METCM (from METGC)'!K34,'METCM (from METGC)'!K43,'METCM (from METGC)'!K52),3)</f>
        <v>38.985694499999994</v>
      </c>
      <c r="M125" s="113">
        <f ca="1">_xlfn.QUARTILE.INC(('METCM (from METGC)'!J8,'METCM (from METGC)'!J17,'METCM (from METGC)'!J26,'METCM (from METGC)'!J35,'METCM (from METGC)'!J44,'METCM (from METGC)'!J53),3)</f>
        <v>189.36510850000002</v>
      </c>
      <c r="N125" s="89">
        <f ca="1">_xlfn.QUARTILE.INC(('METCM (from METGC)'!K8,'METCM (from METGC)'!K17,'METCM (from METGC)'!K26,'METCM (from METGC)'!K35,'METCM (from METGC)'!K44,'METCM (from METGC)'!K53),3)</f>
        <v>39.584029000000001</v>
      </c>
    </row>
    <row r="126" spans="1:14">
      <c r="A126" s="63"/>
      <c r="B126" s="196"/>
      <c r="C126" s="196"/>
      <c r="D126" s="200"/>
      <c r="E126" s="204"/>
      <c r="F126" s="200"/>
      <c r="G126" s="196"/>
      <c r="H126" s="123" t="s">
        <v>224</v>
      </c>
      <c r="I126" s="113">
        <f ca="1">I125-I124</f>
        <v>3.1890067500000043</v>
      </c>
      <c r="J126" s="134">
        <f ca="1">J125-J124</f>
        <v>5.1485807499999936</v>
      </c>
      <c r="K126" s="113">
        <f t="shared" ref="K126:N126" ca="1" si="91">K125-K124</f>
        <v>3.2044480000000135</v>
      </c>
      <c r="L126" s="134">
        <f t="shared" ca="1" si="91"/>
        <v>5.2102214999999887</v>
      </c>
      <c r="M126" s="113">
        <f t="shared" ca="1" si="91"/>
        <v>3.2630695000000287</v>
      </c>
      <c r="N126" s="89">
        <f t="shared" ca="1" si="91"/>
        <v>5.4489459999999994</v>
      </c>
    </row>
    <row r="127" spans="1:14">
      <c r="A127" s="63"/>
      <c r="B127" s="196"/>
      <c r="C127" s="196"/>
      <c r="D127" s="200"/>
      <c r="E127" s="204"/>
      <c r="F127" s="200"/>
      <c r="G127" s="196"/>
      <c r="H127" s="123" t="s">
        <v>225</v>
      </c>
      <c r="I127" s="113">
        <f>I121-_xlfn.CONFIDENCE.T(0.05,I122,I120)</f>
        <v>-20.322293224746034</v>
      </c>
      <c r="J127" s="134">
        <f>J121-_xlfn.CONFIDENCE.T(0.05,J122,J120)</f>
        <v>29.568414214690243</v>
      </c>
      <c r="K127" s="113">
        <f t="shared" ref="K127:N127" si="92">K121-_xlfn.CONFIDENCE.T(0.05,K122,K120)</f>
        <v>-18.056840325996518</v>
      </c>
      <c r="L127" s="134">
        <f t="shared" ref="L127" si="93">L121-_xlfn.CONFIDENCE.T(0.05,L122,L120)</f>
        <v>29.676130019069952</v>
      </c>
      <c r="M127" s="113">
        <f t="shared" si="92"/>
        <v>-9.2356758074781737</v>
      </c>
      <c r="N127" s="89">
        <f t="shared" ref="N127" si="94">N121-_xlfn.CONFIDENCE.T(0.05,N122,N120)</f>
        <v>30.091473070795033</v>
      </c>
    </row>
    <row r="128" spans="1:14">
      <c r="A128" s="63"/>
      <c r="B128" s="196"/>
      <c r="C128" s="196"/>
      <c r="D128" s="200"/>
      <c r="E128" s="204"/>
      <c r="F128" s="200"/>
      <c r="G128" s="196"/>
      <c r="H128" s="123" t="s">
        <v>226</v>
      </c>
      <c r="I128" s="113">
        <f>I121+_xlfn.CONFIDENCE.T(0.05,I122,I120)</f>
        <v>628.53543555807937</v>
      </c>
      <c r="J128" s="134">
        <f>J121+_xlfn.CONFIDENCE.T(0.05,J122,J120)</f>
        <v>46.467093785309764</v>
      </c>
      <c r="K128" s="113">
        <f t="shared" ref="K128:N128" si="95">K121+_xlfn.CONFIDENCE.T(0.05,K122,K120)</f>
        <v>629.49736999266315</v>
      </c>
      <c r="L128" s="134">
        <f t="shared" ref="L128" si="96">L121+_xlfn.CONFIDENCE.T(0.05,L122,L120)</f>
        <v>46.542384647596712</v>
      </c>
      <c r="M128" s="113">
        <f t="shared" si="95"/>
        <v>633.26700114081154</v>
      </c>
      <c r="N128" s="89">
        <f t="shared" ref="N128" si="97">N121+_xlfn.CONFIDENCE.T(0.05,N122,N120)</f>
        <v>46.840112262538298</v>
      </c>
    </row>
    <row r="129" spans="1:14">
      <c r="A129" s="46"/>
      <c r="B129" s="196"/>
      <c r="C129" s="196"/>
      <c r="D129" s="200"/>
      <c r="E129" s="206" t="s">
        <v>47</v>
      </c>
      <c r="F129" s="200"/>
      <c r="G129" s="196"/>
      <c r="H129" s="123" t="s">
        <v>217</v>
      </c>
      <c r="I129" s="97">
        <f>COUNT('METCM (from METGC)'!J9,'METCM (from METGC)'!J18,'METCM (from METGC)'!J27,'METCM (from METGC)'!J36,'METCM (from METGC)'!J45,'METCM (from METGC)'!J54)</f>
        <v>6</v>
      </c>
      <c r="J129" s="135">
        <f>COUNT('METCM (from METGC)'!K9,'METCM (from METGC)'!K18,'METCM (from METGC)'!K27,'METCM (from METGC)'!K36,'METCM (from METGC)'!K45,'METCM (from METGC)'!K54)</f>
        <v>6</v>
      </c>
      <c r="K129" s="97">
        <f>COUNT('METCM (from METGC)'!J10,'METCM (from METGC)'!J19,'METCM (from METGC)'!J28,'METCM (from METGC)'!J37,'METCM (from METGC)'!J46,'METCM (from METGC)'!J55)</f>
        <v>6</v>
      </c>
      <c r="L129" s="135">
        <f>COUNT('METCM (from METGC)'!K10,'METCM (from METGC)'!K19,'METCM (from METGC)'!K28,'METCM (from METGC)'!K37,'METCM (from METGC)'!K46,'METCM (from METGC)'!K55)</f>
        <v>6</v>
      </c>
      <c r="M129" s="97">
        <f>COUNT('METCM (from METGC)'!J11,'METCM (from METGC)'!J20,'METCM (from METGC)'!J29,'METCM (from METGC)'!J38,'METCM (from METGC)'!J47,'METCM (from METGC)'!J56)</f>
        <v>6</v>
      </c>
      <c r="N129" s="90">
        <f>COUNT('METCM (from METGC)'!K11,'METCM (from METGC)'!K20,'METCM (from METGC)'!K29,'METCM (from METGC)'!K38,'METCM (from METGC)'!K47,'METCM (from METGC)'!K56)</f>
        <v>6</v>
      </c>
    </row>
    <row r="130" spans="1:14">
      <c r="A130" s="46"/>
      <c r="B130" s="196"/>
      <c r="C130" s="196"/>
      <c r="D130" s="200"/>
      <c r="E130" s="206"/>
      <c r="F130" s="200"/>
      <c r="G130" s="196"/>
      <c r="H130" s="123" t="s">
        <v>218</v>
      </c>
      <c r="I130" s="114">
        <f>AVERAGE('METCM (from METGC)'!J9,'METCM (from METGC)'!J18,'METCM (from METGC)'!J27,'METCM (from METGC)'!J36,'METCM (from METGC)'!J45,'METCM (from METGC)'!J54)</f>
        <v>577.54438649999997</v>
      </c>
      <c r="J130" s="136">
        <f>AVERAGE('METCM (from METGC)'!K9,'METCM (from METGC)'!K18,'METCM (from METGC)'!K27,'METCM (from METGC)'!K36,'METCM (from METGC)'!K45,'METCM (from METGC)'!K54)</f>
        <v>66.136476833333333</v>
      </c>
      <c r="K130" s="114">
        <f>AVERAGE('METCM (from METGC)'!J10,'METCM (from METGC)'!J19,'METCM (from METGC)'!J28,'METCM (from METGC)'!J37,'METCM (from METGC)'!J46,'METCM (from METGC)'!J55)</f>
        <v>580.6995331666667</v>
      </c>
      <c r="L130" s="136">
        <f>AVERAGE('METCM (from METGC)'!K10,'METCM (from METGC)'!K19,'METCM (from METGC)'!K28,'METCM (from METGC)'!K37,'METCM (from METGC)'!K46,'METCM (from METGC)'!K55)</f>
        <v>66.395421333333331</v>
      </c>
      <c r="M130" s="114">
        <f>AVERAGE('METCM (from METGC)'!J11,'METCM (from METGC)'!J20,'METCM (from METGC)'!J29,'METCM (from METGC)'!J38,'METCM (from METGC)'!J47,'METCM (from METGC)'!J56)</f>
        <v>592.99692749999997</v>
      </c>
      <c r="N130" s="103">
        <f>AVERAGE('METCM (from METGC)'!K11,'METCM (from METGC)'!K20,'METCM (from METGC)'!K29,'METCM (from METGC)'!K38,'METCM (from METGC)'!K47,'METCM (from METGC)'!K56)</f>
        <v>67.399188499999994</v>
      </c>
    </row>
    <row r="131" spans="1:14">
      <c r="A131" s="46"/>
      <c r="B131" s="196"/>
      <c r="C131" s="196"/>
      <c r="D131" s="200"/>
      <c r="E131" s="206"/>
      <c r="F131" s="200"/>
      <c r="G131" s="196"/>
      <c r="H131" s="123" t="s">
        <v>219</v>
      </c>
      <c r="I131" s="114">
        <f>_xlfn.STDEV.S('METCM (from METGC)'!J9,'METCM (from METGC)'!J18,'METCM (from METGC)'!J27,'METCM (from METGC)'!J36,'METCM (from METGC)'!J45,'METCM (from METGC)'!J54)</f>
        <v>593.71258685977205</v>
      </c>
      <c r="J131" s="136">
        <f>_xlfn.STDEV.S('METCM (from METGC)'!K9,'METCM (from METGC)'!K18,'METCM (from METGC)'!K27,'METCM (from METGC)'!K36,'METCM (from METGC)'!K45,'METCM (from METGC)'!K54)</f>
        <v>23.46300909531853</v>
      </c>
      <c r="K131" s="114">
        <f>_xlfn.STDEV.S('METCM (from METGC)'!J10,'METCM (from METGC)'!J19,'METCM (from METGC)'!J28,'METCM (from METGC)'!J37,'METCM (from METGC)'!J46,'METCM (from METGC)'!J55)</f>
        <v>592.49272286360701</v>
      </c>
      <c r="L131" s="136">
        <f>_xlfn.STDEV.S('METCM (from METGC)'!K10,'METCM (from METGC)'!K19,'METCM (from METGC)'!K28,'METCM (from METGC)'!K37,'METCM (from METGC)'!K46,'METCM (from METGC)'!K55)</f>
        <v>23.640359158931059</v>
      </c>
      <c r="M131" s="114">
        <f>_xlfn.STDEV.S('METCM (from METGC)'!J11,'METCM (from METGC)'!J20,'METCM (from METGC)'!J29,'METCM (from METGC)'!J38,'METCM (from METGC)'!J47,'METCM (from METGC)'!J56)</f>
        <v>587.77030471354669</v>
      </c>
      <c r="N131" s="103">
        <f>_xlfn.STDEV.S('METCM (from METGC)'!K11,'METCM (from METGC)'!K20,'METCM (from METGC)'!K29,'METCM (from METGC)'!K38,'METCM (from METGC)'!K47,'METCM (from METGC)'!K56)</f>
        <v>24.336653678301545</v>
      </c>
    </row>
    <row r="132" spans="1:14">
      <c r="A132" s="46"/>
      <c r="B132" s="196"/>
      <c r="C132" s="196"/>
      <c r="D132" s="200"/>
      <c r="E132" s="206"/>
      <c r="F132" s="200"/>
      <c r="G132" s="196"/>
      <c r="H132" s="123" t="s">
        <v>220</v>
      </c>
      <c r="I132" s="97">
        <f>MEDIAN('METCM (from METGC)'!J9,'METCM (from METGC)'!J18,'METCM (from METGC)'!J27,'METCM (from METGC)'!J36,'METCM (from METGC)'!J45,'METCM (from METGC)'!J54)</f>
        <v>333.521455</v>
      </c>
      <c r="J132" s="135">
        <f>MEDIAN('METCM (from METGC)'!K9,'METCM (from METGC)'!K18,'METCM (from METGC)'!K27,'METCM (from METGC)'!K36,'METCM (from METGC)'!K45,'METCM (from METGC)'!K54)</f>
        <v>62.155734000000002</v>
      </c>
      <c r="K132" s="97">
        <f>MEDIAN('METCM (from METGC)'!J10,'METCM (from METGC)'!J19,'METCM (from METGC)'!J28,'METCM (from METGC)'!J37,'METCM (from METGC)'!J46,'METCM (from METGC)'!J55)</f>
        <v>337.16678350000001</v>
      </c>
      <c r="L132" s="135">
        <f>MEDIAN('METCM (from METGC)'!K10,'METCM (from METGC)'!K19,'METCM (from METGC)'!K28,'METCM (from METGC)'!K37,'METCM (from METGC)'!K46,'METCM (from METGC)'!K55)</f>
        <v>62.469046500000005</v>
      </c>
      <c r="M132" s="97">
        <f>MEDIAN('METCM (from METGC)'!J11,'METCM (from METGC)'!J20,'METCM (from METGC)'!J29,'METCM (from METGC)'!J38,'METCM (from METGC)'!J47,'METCM (from METGC)'!J56)</f>
        <v>351.36231850000001</v>
      </c>
      <c r="N132" s="90">
        <f>MEDIAN('METCM (from METGC)'!K11,'METCM (from METGC)'!K20,'METCM (from METGC)'!K29,'METCM (from METGC)'!K38,'METCM (from METGC)'!K47,'METCM (from METGC)'!K56)</f>
        <v>63.684467499999997</v>
      </c>
    </row>
    <row r="133" spans="1:14">
      <c r="A133" s="46"/>
      <c r="B133" s="196"/>
      <c r="C133" s="196"/>
      <c r="D133" s="200"/>
      <c r="E133" s="206"/>
      <c r="F133" s="200"/>
      <c r="G133" s="196"/>
      <c r="H133" s="123" t="s">
        <v>221</v>
      </c>
      <c r="I133" s="115">
        <f ca="1">_xlfn.QUARTILE.INC(('METCM (from METGC)'!J9,'METCM (from METGC)'!J18,'METCM (from METGC)'!J27,'METCM (from METGC)'!J36,'METCM (from METGC)'!J45,'METCM (from METGC)'!J54),1)</f>
        <v>329.75126725000001</v>
      </c>
      <c r="J133" s="137">
        <f ca="1">_xlfn.QUARTILE.INC(('METCM (from METGC)'!K9,'METCM (from METGC)'!K18,'METCM (from METGC)'!K27,'METCM (from METGC)'!K36,'METCM (from METGC)'!K45,'METCM (from METGC)'!K54),1)</f>
        <v>50.516346999999996</v>
      </c>
      <c r="K133" s="115">
        <f ca="1">_xlfn.QUARTILE.INC(('METCM (from METGC)'!J10,'METCM (from METGC)'!J19,'METCM (from METGC)'!J28,'METCM (from METGC)'!J37,'METCM (from METGC)'!J46,'METCM (from METGC)'!J55),1)</f>
        <v>333.38017824999997</v>
      </c>
      <c r="L133" s="137">
        <f ca="1">_xlfn.QUARTILE.INC(('METCM (from METGC)'!K10,'METCM (from METGC)'!K19,'METCM (from METGC)'!K28,'METCM (from METGC)'!K37,'METCM (from METGC)'!K46,'METCM (from METGC)'!K55),1)</f>
        <v>50.702189000000004</v>
      </c>
      <c r="M133" s="115">
        <f ca="1">_xlfn.QUARTILE.INC(('METCM (from METGC)'!J11,'METCM (from METGC)'!J20,'METCM (from METGC)'!J29,'METCM (from METGC)'!J38,'METCM (from METGC)'!J47,'METCM (from METGC)'!J56),1)</f>
        <v>347.51323824999997</v>
      </c>
      <c r="N133" s="91">
        <f ca="1">_xlfn.QUARTILE.INC(('METCM (from METGC)'!K11,'METCM (from METGC)'!K20,'METCM (from METGC)'!K29,'METCM (from METGC)'!K38,'METCM (from METGC)'!K47,'METCM (from METGC)'!K56),1)</f>
        <v>51.425299750000001</v>
      </c>
    </row>
    <row r="134" spans="1:14">
      <c r="A134" s="46"/>
      <c r="B134" s="196"/>
      <c r="C134" s="196"/>
      <c r="D134" s="200"/>
      <c r="E134" s="206"/>
      <c r="F134" s="200"/>
      <c r="G134" s="196"/>
      <c r="H134" s="123" t="s">
        <v>222</v>
      </c>
      <c r="I134" s="115">
        <f ca="1">_xlfn.QUARTILE.INC(('METCM (from METGC)'!J9,'METCM (from METGC)'!J18,'METCM (from METGC)'!J27,'METCM (from METGC)'!J36,'METCM (from METGC)'!J45,'METCM (from METGC)'!J54),3)</f>
        <v>348.52400499999999</v>
      </c>
      <c r="J134" s="137">
        <f ca="1">_xlfn.QUARTILE.INC(('METCM (from METGC)'!K9,'METCM (from METGC)'!K18,'METCM (from METGC)'!K27,'METCM (from METGC)'!K36,'METCM (from METGC)'!K45,'METCM (from METGC)'!K54),3)</f>
        <v>76.738118</v>
      </c>
      <c r="K134" s="115">
        <f ca="1">_xlfn.QUARTILE.INC(('METCM (from METGC)'!J10,'METCM (from METGC)'!J19,'METCM (from METGC)'!J28,'METCM (from METGC)'!J37,'METCM (from METGC)'!J46,'METCM (from METGC)'!J55),3)</f>
        <v>352.23785500000002</v>
      </c>
      <c r="L134" s="137">
        <f ca="1">_xlfn.QUARTILE.INC(('METCM (from METGC)'!K10,'METCM (from METGC)'!K19,'METCM (from METGC)'!K28,'METCM (from METGC)'!K37,'METCM (from METGC)'!K46,'METCM (from METGC)'!K55),3)</f>
        <v>76.83789625</v>
      </c>
      <c r="M134" s="115">
        <f ca="1">_xlfn.QUARTILE.INC(('METCM (from METGC)'!J11,'METCM (from METGC)'!J20,'METCM (from METGC)'!J29,'METCM (from METGC)'!J38,'METCM (from METGC)'!J47,'METCM (from METGC)'!J56),3)</f>
        <v>366.69424149999998</v>
      </c>
      <c r="N134" s="91">
        <f ca="1">_xlfn.QUARTILE.INC(('METCM (from METGC)'!K11,'METCM (from METGC)'!K20,'METCM (from METGC)'!K29,'METCM (from METGC)'!K38,'METCM (from METGC)'!K47,'METCM (from METGC)'!K56),3)</f>
        <v>77.226118749999998</v>
      </c>
    </row>
    <row r="135" spans="1:14">
      <c r="A135" s="46"/>
      <c r="B135" s="196"/>
      <c r="C135" s="196"/>
      <c r="D135" s="200"/>
      <c r="E135" s="206"/>
      <c r="F135" s="200"/>
      <c r="G135" s="196"/>
      <c r="H135" s="123" t="s">
        <v>224</v>
      </c>
      <c r="I135" s="115">
        <f ca="1">I134-I133</f>
        <v>18.772737749999976</v>
      </c>
      <c r="J135" s="137">
        <f ca="1">J134-J133</f>
        <v>26.221771000000004</v>
      </c>
      <c r="K135" s="115">
        <f t="shared" ref="K135:N135" ca="1" si="98">K134-K133</f>
        <v>18.857676750000053</v>
      </c>
      <c r="L135" s="137">
        <f t="shared" ca="1" si="98"/>
        <v>26.135707249999996</v>
      </c>
      <c r="M135" s="115">
        <f t="shared" ca="1" si="98"/>
        <v>19.181003250000003</v>
      </c>
      <c r="N135" s="91">
        <f t="shared" ca="1" si="98"/>
        <v>25.800818999999997</v>
      </c>
    </row>
    <row r="136" spans="1:14">
      <c r="A136" s="46"/>
      <c r="B136" s="196"/>
      <c r="C136" s="196"/>
      <c r="D136" s="200"/>
      <c r="E136" s="206"/>
      <c r="F136" s="200"/>
      <c r="G136" s="196"/>
      <c r="H136" s="123" t="s">
        <v>225</v>
      </c>
      <c r="I136" s="115">
        <f>I130-_xlfn.CONFIDENCE.T(0.05,I131,I129)</f>
        <v>-45.518762005485314</v>
      </c>
      <c r="J136" s="137">
        <f>J130-_xlfn.CONFIDENCE.T(0.05,J131,J129)</f>
        <v>41.513558869502418</v>
      </c>
      <c r="K136" s="115">
        <f t="shared" ref="K136:N136" si="99">K130-_xlfn.CONFIDENCE.T(0.05,K131,K129)</f>
        <v>-41.083446585416937</v>
      </c>
      <c r="L136" s="137">
        <f t="shared" ref="L136" si="100">L130-_xlfn.CONFIDENCE.T(0.05,L131,L129)</f>
        <v>41.586385892009616</v>
      </c>
      <c r="M136" s="115">
        <f t="shared" si="99"/>
        <v>-23.830178338918813</v>
      </c>
      <c r="N136" s="91">
        <f t="shared" ref="N136" si="101">N130-_xlfn.CONFIDENCE.T(0.05,N131,N129)</f>
        <v>41.859436774184644</v>
      </c>
    </row>
    <row r="137" spans="1:14">
      <c r="A137" s="47"/>
      <c r="B137" s="197"/>
      <c r="C137" s="197"/>
      <c r="D137" s="201"/>
      <c r="E137" s="207"/>
      <c r="F137" s="201"/>
      <c r="G137" s="197"/>
      <c r="H137" s="124" t="s">
        <v>226</v>
      </c>
      <c r="I137" s="116">
        <f>I130+_xlfn.CONFIDENCE.T(0.05,I131,I129)</f>
        <v>1200.6075350054853</v>
      </c>
      <c r="J137" s="138">
        <f>J130+_xlfn.CONFIDENCE.T(0.05,J131,J129)</f>
        <v>90.759394797164248</v>
      </c>
      <c r="K137" s="116">
        <f t="shared" ref="K137:N137" si="102">K130+_xlfn.CONFIDENCE.T(0.05,K131,K129)</f>
        <v>1202.4825129187502</v>
      </c>
      <c r="L137" s="138">
        <f t="shared" ref="L137" si="103">L130+_xlfn.CONFIDENCE.T(0.05,L131,L129)</f>
        <v>91.204456774657046</v>
      </c>
      <c r="M137" s="116">
        <f t="shared" si="102"/>
        <v>1209.8240333389188</v>
      </c>
      <c r="N137" s="92">
        <f t="shared" ref="N137" si="104">N130+_xlfn.CONFIDENCE.T(0.05,N131,N129)</f>
        <v>92.938940225815344</v>
      </c>
    </row>
  </sheetData>
  <mergeCells count="51">
    <mergeCell ref="B3:B29"/>
    <mergeCell ref="C3:C29"/>
    <mergeCell ref="D3:D29"/>
    <mergeCell ref="E3:E11"/>
    <mergeCell ref="F3:F29"/>
    <mergeCell ref="A1:A2"/>
    <mergeCell ref="B1:B2"/>
    <mergeCell ref="C1:C2"/>
    <mergeCell ref="D1:D2"/>
    <mergeCell ref="E1:E2"/>
    <mergeCell ref="B30:B56"/>
    <mergeCell ref="C30:C56"/>
    <mergeCell ref="D30:D56"/>
    <mergeCell ref="E30:E38"/>
    <mergeCell ref="F30:F56"/>
    <mergeCell ref="B57:B83"/>
    <mergeCell ref="C57:C83"/>
    <mergeCell ref="D57:D83"/>
    <mergeCell ref="E57:E65"/>
    <mergeCell ref="F57:F83"/>
    <mergeCell ref="E66:E74"/>
    <mergeCell ref="B84:B110"/>
    <mergeCell ref="C84:C110"/>
    <mergeCell ref="D84:D110"/>
    <mergeCell ref="E84:E92"/>
    <mergeCell ref="F84:F110"/>
    <mergeCell ref="B111:B137"/>
    <mergeCell ref="C111:C137"/>
    <mergeCell ref="D111:D137"/>
    <mergeCell ref="E111:E119"/>
    <mergeCell ref="F111:F137"/>
    <mergeCell ref="E120:E128"/>
    <mergeCell ref="E129:E137"/>
    <mergeCell ref="K1:L1"/>
    <mergeCell ref="M1:N1"/>
    <mergeCell ref="G84:G110"/>
    <mergeCell ref="E93:E101"/>
    <mergeCell ref="E102:E110"/>
    <mergeCell ref="E21:E29"/>
    <mergeCell ref="G1:G2"/>
    <mergeCell ref="H1:H2"/>
    <mergeCell ref="I1:J1"/>
    <mergeCell ref="G3:G29"/>
    <mergeCell ref="E12:E20"/>
    <mergeCell ref="F1:F2"/>
    <mergeCell ref="G111:G137"/>
    <mergeCell ref="E75:E83"/>
    <mergeCell ref="G30:G56"/>
    <mergeCell ref="E39:E47"/>
    <mergeCell ref="E48:E56"/>
    <mergeCell ref="G57:G83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A442B03-50F7-4F45-A16D-6CF74048A7C5}">
          <x14:formula1>
            <xm:f>'DATA - IKKE RØR'!$A$11:$A$20</xm:f>
          </x14:formula1>
          <xm:sqref>E129 E120 E111 E21 E48 E75 E102 E12 E39 E66 E93 E3 E30 E57 E84</xm:sqref>
        </x14:dataValidation>
        <x14:dataValidation type="list" allowBlank="1" showInputMessage="1" showErrorMessage="1" xr:uid="{7B370840-FE50-4547-9C7E-59A1BD4AD20A}">
          <x14:formula1>
            <xm:f>'DATA - IKKE RØR'!$L$3:$L$8</xm:f>
          </x14:formula1>
          <xm:sqref>D3:D137</xm:sqref>
        </x14:dataValidation>
        <x14:dataValidation type="list" allowBlank="1" showInputMessage="1" showErrorMessage="1" xr:uid="{0404B0BC-504A-442A-8DFF-DB411D3118C9}">
          <x14:formula1>
            <xm:f>'DATA - IKKE RØR'!$A$3:$A$5</xm:f>
          </x14:formula1>
          <xm:sqref>C3:C137</xm:sqref>
        </x14:dataValidation>
        <x14:dataValidation type="list" allowBlank="1" showInputMessage="1" showErrorMessage="1" xr:uid="{680BDE57-B70E-4670-9EE3-957DD43E24A4}">
          <x14:formula1>
            <xm:f>'DATA - IKKE RØR'!$A$7:$A$9</xm:f>
          </x14:formula1>
          <xm:sqref>B3:B9 B111:B117 B84:B90 B30:B38 B57:B63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A0DE-408B-4C2F-8D94-BAAF261D0C42}">
  <sheetPr>
    <tabColor rgb="FF7030A0"/>
  </sheetPr>
  <dimension ref="A1:P137"/>
  <sheetViews>
    <sheetView workbookViewId="0">
      <pane ySplit="2" topLeftCell="A3" activePane="bottomLeft" state="frozen"/>
      <selection pane="bottomLeft" activeCell="M56" sqref="M56"/>
    </sheetView>
  </sheetViews>
  <sheetFormatPr defaultRowHeight="15"/>
  <cols>
    <col min="1" max="1" width="8" customWidth="1"/>
    <col min="2" max="3" width="12.42578125" style="65" customWidth="1"/>
    <col min="4" max="4" width="15.85546875" customWidth="1"/>
    <col min="5" max="5" width="12.140625" bestFit="1" customWidth="1"/>
    <col min="6" max="6" width="14.7109375" bestFit="1" customWidth="1"/>
    <col min="7" max="7" width="13.28515625" style="65" bestFit="1" customWidth="1"/>
    <col min="8" max="8" width="20.28515625" style="65" bestFit="1" customWidth="1"/>
    <col min="9" max="9" width="34.85546875" style="120" customWidth="1"/>
    <col min="10" max="10" width="33.5703125" style="121" customWidth="1"/>
    <col min="11" max="12" width="33.5703125" style="141" customWidth="1"/>
    <col min="13" max="13" width="33.5703125" style="120" customWidth="1"/>
    <col min="14" max="14" width="33.5703125" style="121" customWidth="1"/>
    <col min="15" max="15" width="12.42578125" bestFit="1" customWidth="1"/>
    <col min="16" max="16" width="9.28515625" customWidth="1"/>
    <col min="17" max="17" width="9.42578125" customWidth="1"/>
  </cols>
  <sheetData>
    <row r="1" spans="1:14" ht="20.100000000000001" customHeight="1">
      <c r="A1" s="219" t="s">
        <v>102</v>
      </c>
      <c r="B1" s="221" t="s">
        <v>103</v>
      </c>
      <c r="C1" s="221" t="s">
        <v>104</v>
      </c>
      <c r="D1" s="221" t="s">
        <v>9</v>
      </c>
      <c r="E1" s="212" t="s">
        <v>105</v>
      </c>
      <c r="F1" s="212" t="s">
        <v>110</v>
      </c>
      <c r="G1" s="212" t="s">
        <v>107</v>
      </c>
      <c r="H1" s="214" t="s">
        <v>216</v>
      </c>
      <c r="I1" s="216" t="s">
        <v>230</v>
      </c>
      <c r="J1" s="217"/>
      <c r="K1" s="216" t="s">
        <v>231</v>
      </c>
      <c r="L1" s="217"/>
      <c r="M1" s="216" t="s">
        <v>232</v>
      </c>
      <c r="N1" s="218"/>
    </row>
    <row r="2" spans="1:14" ht="20.100000000000001" customHeight="1">
      <c r="A2" s="220"/>
      <c r="B2" s="222"/>
      <c r="C2" s="222"/>
      <c r="D2" s="222"/>
      <c r="E2" s="213"/>
      <c r="F2" s="213"/>
      <c r="G2" s="213"/>
      <c r="H2" s="215"/>
      <c r="I2" s="105" t="s">
        <v>111</v>
      </c>
      <c r="J2" s="126" t="s">
        <v>112</v>
      </c>
      <c r="K2" s="105" t="s">
        <v>111</v>
      </c>
      <c r="L2" s="126" t="s">
        <v>112</v>
      </c>
      <c r="M2" s="105" t="s">
        <v>111</v>
      </c>
      <c r="N2" s="106" t="s">
        <v>112</v>
      </c>
    </row>
    <row r="3" spans="1:14">
      <c r="A3" s="61"/>
      <c r="B3" s="195" t="s">
        <v>36</v>
      </c>
      <c r="C3" s="195" t="s">
        <v>25</v>
      </c>
      <c r="D3" s="198" t="s">
        <v>18</v>
      </c>
      <c r="E3" s="198" t="s">
        <v>40</v>
      </c>
      <c r="F3" s="202" t="s">
        <v>192</v>
      </c>
      <c r="G3" s="195">
        <v>6000</v>
      </c>
      <c r="H3" s="122" t="s">
        <v>217</v>
      </c>
      <c r="I3" s="107">
        <f>COUNT('METCM (Meteomatics)'!J165)</f>
        <v>1</v>
      </c>
      <c r="J3" s="127">
        <f>COUNT('METCM (Meteomatics)'!K165)</f>
        <v>1</v>
      </c>
      <c r="K3" s="107">
        <f>COUNT('METCM (Meteomatics)'!J166)</f>
        <v>1</v>
      </c>
      <c r="L3" s="127">
        <f>COUNT('METCM (Meteomatics)'!K166)</f>
        <v>1</v>
      </c>
      <c r="M3" s="107">
        <f>COUNT('METCM (Meteomatics)'!J168)</f>
        <v>1</v>
      </c>
      <c r="N3" s="85">
        <f>COUNT('METCM (Meteomatics)'!K168)</f>
        <v>1</v>
      </c>
    </row>
    <row r="4" spans="1:14">
      <c r="A4" s="62"/>
      <c r="B4" s="196"/>
      <c r="C4" s="196"/>
      <c r="D4" s="200"/>
      <c r="E4" s="199"/>
      <c r="F4" s="200"/>
      <c r="G4" s="196"/>
      <c r="H4" s="123" t="s">
        <v>218</v>
      </c>
      <c r="I4" s="148">
        <f>AVERAGE('METCM (Meteomatics)'!J165)</f>
        <v>244.42184900000001</v>
      </c>
      <c r="J4" s="149">
        <f>AVERAGE('METCM (Meteomatics)'!K165)</f>
        <v>34.989024999999998</v>
      </c>
      <c r="K4" s="148">
        <f>AVERAGE('METCM (Meteomatics)'!J166)</f>
        <v>246.60966400000001</v>
      </c>
      <c r="L4" s="149">
        <f>AVERAGE('METCM (Meteomatics)'!K166)</f>
        <v>35.038342</v>
      </c>
      <c r="M4" s="148">
        <f>AVERAGE('METCM (Meteomatics)'!J168)</f>
        <v>255.171055</v>
      </c>
      <c r="N4" s="150">
        <f>AVERAGE('METCM (Meteomatics)'!K168)</f>
        <v>35.231962000000003</v>
      </c>
    </row>
    <row r="5" spans="1:14">
      <c r="A5" s="62"/>
      <c r="B5" s="196"/>
      <c r="C5" s="196"/>
      <c r="D5" s="200"/>
      <c r="E5" s="199"/>
      <c r="F5" s="200"/>
      <c r="G5" s="196"/>
      <c r="H5" s="123" t="s">
        <v>219</v>
      </c>
      <c r="I5" s="148" t="e">
        <f>_xlfn.STDEV.S('METCM (Meteomatics)'!J165)</f>
        <v>#DIV/0!</v>
      </c>
      <c r="J5" s="149" t="e">
        <f>_xlfn.STDEV.S('METCM (Meteomatics)'!K165)</f>
        <v>#DIV/0!</v>
      </c>
      <c r="K5" s="148" t="e">
        <f>_xlfn.STDEV.S('METCM (Meteomatics)'!J166)</f>
        <v>#DIV/0!</v>
      </c>
      <c r="L5" s="149" t="e">
        <f>_xlfn.STDEV.S('METCM (Meteomatics)'!K166)</f>
        <v>#DIV/0!</v>
      </c>
      <c r="M5" s="148" t="e">
        <f>_xlfn.STDEV.S('METCM (Meteomatics)'!J168)</f>
        <v>#DIV/0!</v>
      </c>
      <c r="N5" s="150" t="e">
        <f>_xlfn.STDEV.S('METCM (Meteomatics)'!K168)</f>
        <v>#DIV/0!</v>
      </c>
    </row>
    <row r="6" spans="1:14">
      <c r="A6" s="62"/>
      <c r="B6" s="196"/>
      <c r="C6" s="196"/>
      <c r="D6" s="200"/>
      <c r="E6" s="199"/>
      <c r="F6" s="200"/>
      <c r="G6" s="196"/>
      <c r="H6" s="123" t="s">
        <v>220</v>
      </c>
      <c r="I6" s="151">
        <f>MEDIAN('METCM (Meteomatics)'!J165)</f>
        <v>244.42184900000001</v>
      </c>
      <c r="J6" s="152">
        <f>MEDIAN('METCM (Meteomatics)'!K165)</f>
        <v>34.989024999999998</v>
      </c>
      <c r="K6" s="151">
        <f>MEDIAN('METCM (Meteomatics)'!J166)</f>
        <v>246.60966400000001</v>
      </c>
      <c r="L6" s="152">
        <f>MEDIAN('METCM (Meteomatics)'!K166)</f>
        <v>35.038342</v>
      </c>
      <c r="M6" s="151">
        <f>MEDIAN('METCM (Meteomatics)'!J168)</f>
        <v>255.171055</v>
      </c>
      <c r="N6" s="153">
        <f>MEDIAN('METCM (Meteomatics)'!K168)</f>
        <v>35.231962000000003</v>
      </c>
    </row>
    <row r="7" spans="1:14">
      <c r="A7" s="62"/>
      <c r="B7" s="196"/>
      <c r="C7" s="196"/>
      <c r="D7" s="200"/>
      <c r="E7" s="199"/>
      <c r="F7" s="200"/>
      <c r="G7" s="196"/>
      <c r="H7" s="123" t="s">
        <v>221</v>
      </c>
      <c r="I7" s="154">
        <f>_xlfn.QUARTILE.INC(('METCM (Meteomatics)'!J165),1)</f>
        <v>244.42184900000001</v>
      </c>
      <c r="J7" s="155">
        <f>_xlfn.QUARTILE.INC(('METCM (Meteomatics)'!K165),1)</f>
        <v>34.989024999999998</v>
      </c>
      <c r="K7" s="154">
        <f>_xlfn.QUARTILE.INC(('METCM (Meteomatics)'!J166),1)</f>
        <v>246.60966400000001</v>
      </c>
      <c r="L7" s="155">
        <f>_xlfn.QUARTILE.INC(('METCM (Meteomatics)'!K166),1)</f>
        <v>35.038342</v>
      </c>
      <c r="M7" s="154">
        <f>_xlfn.QUARTILE.INC(('METCM (Meteomatics)'!J168),1)</f>
        <v>255.171055</v>
      </c>
      <c r="N7" s="156">
        <f>_xlfn.QUARTILE.INC(('METCM (Meteomatics)'!K168),1)</f>
        <v>35.231962000000003</v>
      </c>
    </row>
    <row r="8" spans="1:14">
      <c r="A8" s="62"/>
      <c r="B8" s="196"/>
      <c r="C8" s="196"/>
      <c r="D8" s="200"/>
      <c r="E8" s="199"/>
      <c r="F8" s="200"/>
      <c r="G8" s="196"/>
      <c r="H8" s="123" t="s">
        <v>222</v>
      </c>
      <c r="I8" s="154">
        <f>_xlfn.QUARTILE.INC(('METCM (Meteomatics)'!J165),3)</f>
        <v>244.42184900000001</v>
      </c>
      <c r="J8" s="155">
        <f>_xlfn.QUARTILE.INC(('METCM (Meteomatics)'!K165),3)</f>
        <v>34.989024999999998</v>
      </c>
      <c r="K8" s="154">
        <f>_xlfn.QUARTILE.INC(('METCM (Meteomatics)'!J166),3)</f>
        <v>246.60966400000001</v>
      </c>
      <c r="L8" s="155">
        <f>_xlfn.QUARTILE.INC(('METCM (Meteomatics)'!K166),3)</f>
        <v>35.038342</v>
      </c>
      <c r="M8" s="154">
        <f>_xlfn.QUARTILE.INC(('METCM (Meteomatics)'!J168),3)</f>
        <v>255.171055</v>
      </c>
      <c r="N8" s="156">
        <f>_xlfn.QUARTILE.INC(('METCM (Meteomatics)'!K168),3)</f>
        <v>35.231962000000003</v>
      </c>
    </row>
    <row r="9" spans="1:14">
      <c r="A9" s="62"/>
      <c r="B9" s="196"/>
      <c r="C9" s="196"/>
      <c r="D9" s="200"/>
      <c r="E9" s="199"/>
      <c r="F9" s="200"/>
      <c r="G9" s="196"/>
      <c r="H9" s="123" t="s">
        <v>224</v>
      </c>
      <c r="I9" s="151">
        <f>I8-I7</f>
        <v>0</v>
      </c>
      <c r="J9" s="152">
        <f>J8-J7</f>
        <v>0</v>
      </c>
      <c r="K9" s="151">
        <f t="shared" ref="K9:N9" si="0">K8-K7</f>
        <v>0</v>
      </c>
      <c r="L9" s="152">
        <f t="shared" si="0"/>
        <v>0</v>
      </c>
      <c r="M9" s="151">
        <f t="shared" si="0"/>
        <v>0</v>
      </c>
      <c r="N9" s="153">
        <f t="shared" si="0"/>
        <v>0</v>
      </c>
    </row>
    <row r="10" spans="1:14">
      <c r="A10" s="62"/>
      <c r="B10" s="196"/>
      <c r="C10" s="196"/>
      <c r="D10" s="200"/>
      <c r="E10" s="199"/>
      <c r="F10" s="200"/>
      <c r="G10" s="196"/>
      <c r="H10" s="123" t="s">
        <v>225</v>
      </c>
      <c r="I10" s="151" t="e">
        <f>I4-_xlfn.CONFIDENCE.T(0.05,I5,I3)</f>
        <v>#DIV/0!</v>
      </c>
      <c r="J10" s="152" t="e">
        <f>J4-_xlfn.CONFIDENCE.T(0.05,J5,J3)</f>
        <v>#DIV/0!</v>
      </c>
      <c r="K10" s="151" t="e">
        <f t="shared" ref="K10:N10" si="1">K4-_xlfn.CONFIDENCE.T(0.05,K5,K3)</f>
        <v>#DIV/0!</v>
      </c>
      <c r="L10" s="152" t="e">
        <f t="shared" si="1"/>
        <v>#DIV/0!</v>
      </c>
      <c r="M10" s="151" t="e">
        <f t="shared" si="1"/>
        <v>#DIV/0!</v>
      </c>
      <c r="N10" s="153" t="e">
        <f t="shared" si="1"/>
        <v>#DIV/0!</v>
      </c>
    </row>
    <row r="11" spans="1:14">
      <c r="A11" s="62"/>
      <c r="B11" s="196"/>
      <c r="C11" s="196"/>
      <c r="D11" s="200"/>
      <c r="E11" s="199"/>
      <c r="F11" s="200"/>
      <c r="G11" s="196"/>
      <c r="H11" s="123" t="s">
        <v>226</v>
      </c>
      <c r="I11" s="151" t="e">
        <f>I4+_xlfn.CONFIDENCE.T(0.05,I5,I3)</f>
        <v>#DIV/0!</v>
      </c>
      <c r="J11" s="152" t="e">
        <f>J4+_xlfn.CONFIDENCE.T(0.05,J5,J3)</f>
        <v>#DIV/0!</v>
      </c>
      <c r="K11" s="151" t="e">
        <f t="shared" ref="K11:N11" si="2">K4+_xlfn.CONFIDENCE.T(0.05,K5,K3)</f>
        <v>#DIV/0!</v>
      </c>
      <c r="L11" s="152" t="e">
        <f t="shared" si="2"/>
        <v>#DIV/0!</v>
      </c>
      <c r="M11" s="151" t="e">
        <f t="shared" si="2"/>
        <v>#DIV/0!</v>
      </c>
      <c r="N11" s="153" t="e">
        <f t="shared" si="2"/>
        <v>#DIV/0!</v>
      </c>
    </row>
    <row r="12" spans="1:14">
      <c r="A12" s="63"/>
      <c r="B12" s="196"/>
      <c r="C12" s="196"/>
      <c r="D12" s="200"/>
      <c r="E12" s="204" t="s">
        <v>42</v>
      </c>
      <c r="F12" s="200"/>
      <c r="G12" s="196"/>
      <c r="H12" s="123" t="s">
        <v>217</v>
      </c>
      <c r="I12" s="111">
        <f>COUNT('METCM (Meteomatics)'!J170)</f>
        <v>1</v>
      </c>
      <c r="J12" s="132">
        <f>COUNT('METCM (Meteomatics)'!K170)</f>
        <v>1</v>
      </c>
      <c r="K12" s="111">
        <f>COUNT('METCM (Meteomatics)'!J171)</f>
        <v>1</v>
      </c>
      <c r="L12" s="132">
        <f>COUNT('METCM (Meteomatics)'!K171)</f>
        <v>1</v>
      </c>
      <c r="M12" s="111">
        <f>COUNT('METCM (Meteomatics)'!J173)</f>
        <v>1</v>
      </c>
      <c r="N12" s="88">
        <f>COUNT('METCM (Meteomatics)'!K173)</f>
        <v>1</v>
      </c>
    </row>
    <row r="13" spans="1:14">
      <c r="A13" s="63"/>
      <c r="B13" s="196"/>
      <c r="C13" s="196"/>
      <c r="D13" s="200"/>
      <c r="E13" s="204"/>
      <c r="F13" s="200"/>
      <c r="G13" s="196"/>
      <c r="H13" s="123" t="s">
        <v>218</v>
      </c>
      <c r="I13" s="157">
        <f>AVERAGE('METCM (Meteomatics)'!J170)</f>
        <v>249.433075</v>
      </c>
      <c r="J13" s="158">
        <f>AVERAGE('METCM (Meteomatics)'!K170)</f>
        <v>37.207127</v>
      </c>
      <c r="K13" s="157">
        <f>AVERAGE('METCM (Meteomatics)'!J171)</f>
        <v>251.67016599999999</v>
      </c>
      <c r="L13" s="158">
        <f>AVERAGE('METCM (Meteomatics)'!K171)</f>
        <v>37.273778999999998</v>
      </c>
      <c r="M13" s="157">
        <f>AVERAGE('METCM (Meteomatics)'!J173)</f>
        <v>260.42424099999999</v>
      </c>
      <c r="N13" s="159">
        <f>AVERAGE('METCM (Meteomatics)'!K173)</f>
        <v>37.535212000000001</v>
      </c>
    </row>
    <row r="14" spans="1:14">
      <c r="A14" s="63"/>
      <c r="B14" s="196"/>
      <c r="C14" s="196"/>
      <c r="D14" s="200"/>
      <c r="E14" s="204"/>
      <c r="F14" s="200"/>
      <c r="G14" s="196"/>
      <c r="H14" s="123" t="s">
        <v>219</v>
      </c>
      <c r="I14" s="157" t="e">
        <f>_xlfn.STDEV.S('METCM (Meteomatics)'!J170)</f>
        <v>#DIV/0!</v>
      </c>
      <c r="J14" s="158" t="e">
        <f>_xlfn.STDEV.S('METCM (Meteomatics)'!K170)</f>
        <v>#DIV/0!</v>
      </c>
      <c r="K14" s="157" t="e">
        <f>_xlfn.STDEV.S('METCM (Meteomatics)'!J171)</f>
        <v>#DIV/0!</v>
      </c>
      <c r="L14" s="158" t="e">
        <f>_xlfn.STDEV.S('METCM (Meteomatics)'!K171)</f>
        <v>#DIV/0!</v>
      </c>
      <c r="M14" s="157" t="e">
        <f>_xlfn.STDEV.S('METCM (Meteomatics)'!J173)</f>
        <v>#DIV/0!</v>
      </c>
      <c r="N14" s="159" t="e">
        <f>_xlfn.STDEV.S('METCM (Meteomatics)'!K173)</f>
        <v>#DIV/0!</v>
      </c>
    </row>
    <row r="15" spans="1:14">
      <c r="A15" s="63"/>
      <c r="B15" s="196"/>
      <c r="C15" s="196"/>
      <c r="D15" s="200"/>
      <c r="E15" s="204"/>
      <c r="F15" s="200"/>
      <c r="G15" s="196"/>
      <c r="H15" s="123" t="s">
        <v>220</v>
      </c>
      <c r="I15" s="160">
        <f>MEDIAN('METCM (Meteomatics)'!J170)</f>
        <v>249.433075</v>
      </c>
      <c r="J15" s="161">
        <f>MEDIAN('METCM (Meteomatics)'!K170)</f>
        <v>37.207127</v>
      </c>
      <c r="K15" s="160">
        <f>MEDIAN('METCM (Meteomatics)'!J171)</f>
        <v>251.67016599999999</v>
      </c>
      <c r="L15" s="161">
        <f>MEDIAN('METCM (Meteomatics)'!K171)</f>
        <v>37.273778999999998</v>
      </c>
      <c r="M15" s="160">
        <f>MEDIAN('METCM (Meteomatics)'!J173)</f>
        <v>260.42424099999999</v>
      </c>
      <c r="N15" s="162">
        <f>MEDIAN('METCM (Meteomatics)'!K173)</f>
        <v>37.535212000000001</v>
      </c>
    </row>
    <row r="16" spans="1:14">
      <c r="A16" s="63"/>
      <c r="B16" s="196"/>
      <c r="C16" s="196"/>
      <c r="D16" s="200"/>
      <c r="E16" s="204"/>
      <c r="F16" s="200"/>
      <c r="G16" s="196"/>
      <c r="H16" s="123" t="s">
        <v>221</v>
      </c>
      <c r="I16" s="160">
        <f>_xlfn.QUARTILE.INC(('METCM (Meteomatics)'!J170),1)</f>
        <v>249.433075</v>
      </c>
      <c r="J16" s="161">
        <f>_xlfn.QUARTILE.INC(('METCM (Meteomatics)'!K170),1)</f>
        <v>37.207127</v>
      </c>
      <c r="K16" s="160">
        <f>_xlfn.QUARTILE.INC(('METCM (Meteomatics)'!J171),1)</f>
        <v>251.67016599999999</v>
      </c>
      <c r="L16" s="161">
        <f>_xlfn.QUARTILE.INC(('METCM (Meteomatics)'!K171),1)</f>
        <v>37.273778999999998</v>
      </c>
      <c r="M16" s="160">
        <f>_xlfn.QUARTILE.INC(('METCM (Meteomatics)'!J173),1)</f>
        <v>260.42424099999999</v>
      </c>
      <c r="N16" s="162">
        <f>_xlfn.QUARTILE.INC(('METCM (Meteomatics)'!K173),1)</f>
        <v>37.535212000000001</v>
      </c>
    </row>
    <row r="17" spans="1:14">
      <c r="A17" s="63"/>
      <c r="B17" s="196"/>
      <c r="C17" s="196"/>
      <c r="D17" s="200"/>
      <c r="E17" s="204"/>
      <c r="F17" s="200"/>
      <c r="G17" s="196"/>
      <c r="H17" s="123" t="s">
        <v>222</v>
      </c>
      <c r="I17" s="160">
        <f>_xlfn.QUARTILE.INC(('METCM (Meteomatics)'!J170),3)</f>
        <v>249.433075</v>
      </c>
      <c r="J17" s="161">
        <f>_xlfn.QUARTILE.INC(('METCM (Meteomatics)'!K170),3)</f>
        <v>37.207127</v>
      </c>
      <c r="K17" s="160">
        <f>_xlfn.QUARTILE.INC(('METCM (Meteomatics)'!J171),3)</f>
        <v>251.67016599999999</v>
      </c>
      <c r="L17" s="161">
        <f>_xlfn.QUARTILE.INC(('METCM (Meteomatics)'!K171),3)</f>
        <v>37.273778999999998</v>
      </c>
      <c r="M17" s="160">
        <f>_xlfn.QUARTILE.INC(('METCM (Meteomatics)'!J173),3)</f>
        <v>260.42424099999999</v>
      </c>
      <c r="N17" s="162">
        <f>_xlfn.QUARTILE.INC(('METCM (Meteomatics)'!K173),3)</f>
        <v>37.535212000000001</v>
      </c>
    </row>
    <row r="18" spans="1:14">
      <c r="A18" s="63"/>
      <c r="B18" s="196"/>
      <c r="C18" s="196"/>
      <c r="D18" s="200"/>
      <c r="E18" s="204"/>
      <c r="F18" s="200"/>
      <c r="G18" s="196"/>
      <c r="H18" s="123" t="s">
        <v>224</v>
      </c>
      <c r="I18" s="160">
        <f>I17-I16</f>
        <v>0</v>
      </c>
      <c r="J18" s="161">
        <f>J17-J16</f>
        <v>0</v>
      </c>
      <c r="K18" s="160">
        <f t="shared" ref="K18:N18" si="3">K17-K16</f>
        <v>0</v>
      </c>
      <c r="L18" s="161">
        <f t="shared" si="3"/>
        <v>0</v>
      </c>
      <c r="M18" s="160">
        <f t="shared" si="3"/>
        <v>0</v>
      </c>
      <c r="N18" s="162">
        <f t="shared" si="3"/>
        <v>0</v>
      </c>
    </row>
    <row r="19" spans="1:14">
      <c r="A19" s="63"/>
      <c r="B19" s="196"/>
      <c r="C19" s="196"/>
      <c r="D19" s="200"/>
      <c r="E19" s="204"/>
      <c r="F19" s="200"/>
      <c r="G19" s="196"/>
      <c r="H19" s="123" t="s">
        <v>225</v>
      </c>
      <c r="I19" s="160" t="e">
        <f>I13-_xlfn.CONFIDENCE.T(0.05,I14,I12)</f>
        <v>#DIV/0!</v>
      </c>
      <c r="J19" s="161" t="e">
        <f>J13-_xlfn.CONFIDENCE.T(0.05,J14,J12)</f>
        <v>#DIV/0!</v>
      </c>
      <c r="K19" s="160" t="e">
        <f t="shared" ref="K19:N19" si="4">K13-_xlfn.CONFIDENCE.T(0.05,K14,K12)</f>
        <v>#DIV/0!</v>
      </c>
      <c r="L19" s="161" t="e">
        <f t="shared" si="4"/>
        <v>#DIV/0!</v>
      </c>
      <c r="M19" s="160" t="e">
        <f t="shared" si="4"/>
        <v>#DIV/0!</v>
      </c>
      <c r="N19" s="162" t="e">
        <f t="shared" si="4"/>
        <v>#DIV/0!</v>
      </c>
    </row>
    <row r="20" spans="1:14">
      <c r="A20" s="63"/>
      <c r="B20" s="196"/>
      <c r="C20" s="196"/>
      <c r="D20" s="200"/>
      <c r="E20" s="204"/>
      <c r="F20" s="200"/>
      <c r="G20" s="196"/>
      <c r="H20" s="123" t="s">
        <v>226</v>
      </c>
      <c r="I20" s="160" t="e">
        <f>I13+_xlfn.CONFIDENCE.T(0.05,I14,I12)</f>
        <v>#DIV/0!</v>
      </c>
      <c r="J20" s="161" t="e">
        <f>J13+_xlfn.CONFIDENCE.T(0.05,J14,J12)</f>
        <v>#DIV/0!</v>
      </c>
      <c r="K20" s="160" t="e">
        <f t="shared" ref="K20:N20" si="5">K13+_xlfn.CONFIDENCE.T(0.05,K14,K12)</f>
        <v>#DIV/0!</v>
      </c>
      <c r="L20" s="161" t="e">
        <f t="shared" si="5"/>
        <v>#DIV/0!</v>
      </c>
      <c r="M20" s="160" t="e">
        <f t="shared" si="5"/>
        <v>#DIV/0!</v>
      </c>
      <c r="N20" s="162" t="e">
        <f t="shared" si="5"/>
        <v>#DIV/0!</v>
      </c>
    </row>
    <row r="21" spans="1:14">
      <c r="A21" s="97"/>
      <c r="B21" s="196"/>
      <c r="C21" s="196"/>
      <c r="D21" s="200"/>
      <c r="E21" s="206" t="s">
        <v>47</v>
      </c>
      <c r="F21" s="200"/>
      <c r="G21" s="196"/>
      <c r="H21" s="123" t="s">
        <v>217</v>
      </c>
      <c r="I21" s="97">
        <f>COUNT('METCM (Meteomatics)'!J175)</f>
        <v>1</v>
      </c>
      <c r="J21" s="135">
        <f>COUNT('METCM (Meteomatics)'!K175)</f>
        <v>1</v>
      </c>
      <c r="K21" s="97">
        <f>COUNT('METCM (Meteomatics)'!J171)</f>
        <v>1</v>
      </c>
      <c r="L21" s="135">
        <f>COUNT('METCM (Meteomatics)'!K171)</f>
        <v>1</v>
      </c>
      <c r="M21" s="97">
        <f>COUNT('METCM (Meteomatics)'!J178)</f>
        <v>1</v>
      </c>
      <c r="N21" s="90">
        <f>COUNT('METCM (Meteomatics)'!K178)</f>
        <v>1</v>
      </c>
    </row>
    <row r="22" spans="1:14">
      <c r="A22" s="97"/>
      <c r="B22" s="196"/>
      <c r="C22" s="196"/>
      <c r="D22" s="200"/>
      <c r="E22" s="206"/>
      <c r="F22" s="200"/>
      <c r="G22" s="196"/>
      <c r="H22" s="123" t="s">
        <v>218</v>
      </c>
      <c r="I22" s="163">
        <f>AVERAGE('METCM (Meteomatics)'!J175)</f>
        <v>269.05437699999999</v>
      </c>
      <c r="J22" s="164">
        <f>AVERAGE('METCM (Meteomatics)'!K175)</f>
        <v>36.587891999999997</v>
      </c>
      <c r="K22" s="163">
        <f>AVERAGE('METCM (Meteomatics)'!J171)</f>
        <v>251.67016599999999</v>
      </c>
      <c r="L22" s="164">
        <f>AVERAGE('METCM (Meteomatics)'!K171)</f>
        <v>37.273778999999998</v>
      </c>
      <c r="M22" s="163">
        <f>AVERAGE('METCM (Meteomatics)'!J178)</f>
        <v>280.92531600000001</v>
      </c>
      <c r="N22" s="165">
        <f>AVERAGE('METCM (Meteomatics)'!K178)</f>
        <v>36.845505000000003</v>
      </c>
    </row>
    <row r="23" spans="1:14">
      <c r="A23" s="97"/>
      <c r="B23" s="196"/>
      <c r="C23" s="196"/>
      <c r="D23" s="200"/>
      <c r="E23" s="206"/>
      <c r="F23" s="200"/>
      <c r="G23" s="196"/>
      <c r="H23" s="123" t="s">
        <v>219</v>
      </c>
      <c r="I23" s="163" t="e">
        <f>_xlfn.STDEV.S('METCM (Meteomatics)'!J175)</f>
        <v>#DIV/0!</v>
      </c>
      <c r="J23" s="164" t="e">
        <f>_xlfn.STDEV.S('METCM (Meteomatics)'!K175)</f>
        <v>#DIV/0!</v>
      </c>
      <c r="K23" s="163" t="e">
        <f>_xlfn.STDEV.S('METCM (Meteomatics)'!J171)</f>
        <v>#DIV/0!</v>
      </c>
      <c r="L23" s="164" t="e">
        <f>_xlfn.STDEV.S('METCM (Meteomatics)'!K171)</f>
        <v>#DIV/0!</v>
      </c>
      <c r="M23" s="163" t="e">
        <f>_xlfn.STDEV.S('METCM (Meteomatics)'!J178)</f>
        <v>#DIV/0!</v>
      </c>
      <c r="N23" s="165" t="e">
        <f>_xlfn.STDEV.S('METCM (Meteomatics)'!K178)</f>
        <v>#DIV/0!</v>
      </c>
    </row>
    <row r="24" spans="1:14">
      <c r="A24" s="97"/>
      <c r="B24" s="196"/>
      <c r="C24" s="196"/>
      <c r="D24" s="200"/>
      <c r="E24" s="206"/>
      <c r="F24" s="200"/>
      <c r="G24" s="196"/>
      <c r="H24" s="123" t="s">
        <v>220</v>
      </c>
      <c r="I24" s="166">
        <f>MEDIAN('METCM (Meteomatics)'!J175)</f>
        <v>269.05437699999999</v>
      </c>
      <c r="J24" s="167">
        <f>MEDIAN('METCM (Meteomatics)'!K175)</f>
        <v>36.587891999999997</v>
      </c>
      <c r="K24" s="166">
        <f>MEDIAN('METCM (Meteomatics)'!J171)</f>
        <v>251.67016599999999</v>
      </c>
      <c r="L24" s="167">
        <f>MEDIAN('METCM (Meteomatics)'!K171)</f>
        <v>37.273778999999998</v>
      </c>
      <c r="M24" s="166">
        <f>MEDIAN('METCM (Meteomatics)'!J178)</f>
        <v>280.92531600000001</v>
      </c>
      <c r="N24" s="168">
        <f>MEDIAN('METCM (Meteomatics)'!K178)</f>
        <v>36.845505000000003</v>
      </c>
    </row>
    <row r="25" spans="1:14">
      <c r="A25" s="97"/>
      <c r="B25" s="196"/>
      <c r="C25" s="196"/>
      <c r="D25" s="200"/>
      <c r="E25" s="206"/>
      <c r="F25" s="200"/>
      <c r="G25" s="196"/>
      <c r="H25" s="123" t="s">
        <v>221</v>
      </c>
      <c r="I25" s="166">
        <f>_xlfn.QUARTILE.INC(('METCM (Meteomatics)'!J175),1)</f>
        <v>269.05437699999999</v>
      </c>
      <c r="J25" s="167">
        <f>_xlfn.QUARTILE.INC(('METCM (Meteomatics)'!K175),1)</f>
        <v>36.587891999999997</v>
      </c>
      <c r="K25" s="166">
        <f>_xlfn.QUARTILE.INC(('METCM (Meteomatics)'!J171),1)</f>
        <v>251.67016599999999</v>
      </c>
      <c r="L25" s="167">
        <f>_xlfn.QUARTILE.INC(('METCM (Meteomatics)'!K171),1)</f>
        <v>37.273778999999998</v>
      </c>
      <c r="M25" s="166">
        <f>_xlfn.QUARTILE.INC(('METCM (Meteomatics)'!J178),1)</f>
        <v>280.92531600000001</v>
      </c>
      <c r="N25" s="168">
        <f>_xlfn.QUARTILE.INC(('METCM (Meteomatics)'!K178),1)</f>
        <v>36.845505000000003</v>
      </c>
    </row>
    <row r="26" spans="1:14">
      <c r="A26" s="97"/>
      <c r="B26" s="196"/>
      <c r="C26" s="196"/>
      <c r="D26" s="200"/>
      <c r="E26" s="206"/>
      <c r="F26" s="200"/>
      <c r="G26" s="196"/>
      <c r="H26" s="123" t="s">
        <v>222</v>
      </c>
      <c r="I26" s="166">
        <f>_xlfn.QUARTILE.INC(('METCM (Meteomatics)'!J175),3)</f>
        <v>269.05437699999999</v>
      </c>
      <c r="J26" s="167">
        <f>_xlfn.QUARTILE.INC(('METCM (Meteomatics)'!K175),3)</f>
        <v>36.587891999999997</v>
      </c>
      <c r="K26" s="166">
        <f>_xlfn.QUARTILE.INC(('METCM (Meteomatics)'!J171),3)</f>
        <v>251.67016599999999</v>
      </c>
      <c r="L26" s="167">
        <f>_xlfn.QUARTILE.INC(('METCM (Meteomatics)'!K171),3)</f>
        <v>37.273778999999998</v>
      </c>
      <c r="M26" s="166">
        <f>_xlfn.QUARTILE.INC(('METCM (Meteomatics)'!J178),3)</f>
        <v>280.92531600000001</v>
      </c>
      <c r="N26" s="168">
        <f>_xlfn.QUARTILE.INC(('METCM (Meteomatics)'!K178),3)</f>
        <v>36.845505000000003</v>
      </c>
    </row>
    <row r="27" spans="1:14">
      <c r="A27" s="46"/>
      <c r="B27" s="196"/>
      <c r="C27" s="196"/>
      <c r="D27" s="200"/>
      <c r="E27" s="206"/>
      <c r="F27" s="200"/>
      <c r="G27" s="196"/>
      <c r="H27" s="123" t="s">
        <v>224</v>
      </c>
      <c r="I27" s="166">
        <f>I26-I25</f>
        <v>0</v>
      </c>
      <c r="J27" s="167">
        <f>J26-J25</f>
        <v>0</v>
      </c>
      <c r="K27" s="166">
        <f t="shared" ref="K27:N27" si="6">K26-K25</f>
        <v>0</v>
      </c>
      <c r="L27" s="167">
        <f t="shared" si="6"/>
        <v>0</v>
      </c>
      <c r="M27" s="166">
        <f t="shared" si="6"/>
        <v>0</v>
      </c>
      <c r="N27" s="168">
        <f t="shared" si="6"/>
        <v>0</v>
      </c>
    </row>
    <row r="28" spans="1:14">
      <c r="A28" s="46"/>
      <c r="B28" s="196"/>
      <c r="C28" s="196"/>
      <c r="D28" s="200"/>
      <c r="E28" s="206"/>
      <c r="F28" s="200"/>
      <c r="G28" s="196"/>
      <c r="H28" s="123" t="s">
        <v>225</v>
      </c>
      <c r="I28" s="166" t="e">
        <f>I22-_xlfn.CONFIDENCE.T(0.05,I23,I21)</f>
        <v>#DIV/0!</v>
      </c>
      <c r="J28" s="167" t="e">
        <f>J22-_xlfn.CONFIDENCE.T(0.05,J23,J21)</f>
        <v>#DIV/0!</v>
      </c>
      <c r="K28" s="166" t="e">
        <f t="shared" ref="K28:N28" si="7">K22-_xlfn.CONFIDENCE.T(0.05,K23,K21)</f>
        <v>#DIV/0!</v>
      </c>
      <c r="L28" s="167" t="e">
        <f t="shared" si="7"/>
        <v>#DIV/0!</v>
      </c>
      <c r="M28" s="166" t="e">
        <f t="shared" si="7"/>
        <v>#DIV/0!</v>
      </c>
      <c r="N28" s="168" t="e">
        <f t="shared" si="7"/>
        <v>#DIV/0!</v>
      </c>
    </row>
    <row r="29" spans="1:14">
      <c r="A29" s="47"/>
      <c r="B29" s="197"/>
      <c r="C29" s="197"/>
      <c r="D29" s="201"/>
      <c r="E29" s="207"/>
      <c r="F29" s="201"/>
      <c r="G29" s="197"/>
      <c r="H29" s="124" t="s">
        <v>226</v>
      </c>
      <c r="I29" s="178" t="e">
        <f>I22+_xlfn.CONFIDENCE.T(0.05,I23,I21)</f>
        <v>#DIV/0!</v>
      </c>
      <c r="J29" s="179" t="e">
        <f>J22+_xlfn.CONFIDENCE.T(0.05,J23,J21)</f>
        <v>#DIV/0!</v>
      </c>
      <c r="K29" s="178" t="e">
        <f t="shared" ref="K29:N29" si="8">K22+_xlfn.CONFIDENCE.T(0.05,K23,K21)</f>
        <v>#DIV/0!</v>
      </c>
      <c r="L29" s="179" t="e">
        <f t="shared" si="8"/>
        <v>#DIV/0!</v>
      </c>
      <c r="M29" s="178" t="e">
        <f t="shared" si="8"/>
        <v>#DIV/0!</v>
      </c>
      <c r="N29" s="180" t="e">
        <f t="shared" si="8"/>
        <v>#DIV/0!</v>
      </c>
    </row>
    <row r="30" spans="1:14">
      <c r="A30" s="83"/>
      <c r="B30" s="209" t="s">
        <v>32</v>
      </c>
      <c r="C30" s="209" t="s">
        <v>20</v>
      </c>
      <c r="D30" s="210" t="s">
        <v>18</v>
      </c>
      <c r="E30" s="210" t="s">
        <v>40</v>
      </c>
      <c r="F30" s="211" t="s">
        <v>227</v>
      </c>
      <c r="G30" s="209">
        <v>5000</v>
      </c>
      <c r="H30" s="125" t="s">
        <v>217</v>
      </c>
      <c r="I30" s="117">
        <f>COUNT('METCM (Meteomatics)'!J129,'METCM (Meteomatics)'!J138,'METCM (Meteomatics)'!J147,'METCM (Meteomatics)'!J156)</f>
        <v>4</v>
      </c>
      <c r="J30" s="139">
        <f>COUNT('METCM (Meteomatics)'!K129,'METCM (Meteomatics)'!K138,'METCM (Meteomatics)'!K147,'METCM (Meteomatics)'!K156)</f>
        <v>4</v>
      </c>
      <c r="K30" s="117">
        <f>COUNT('METCM (Meteomatics)'!J130,'METCM (Meteomatics)'!J139,'METCM (Meteomatics)'!J148,'METCM (Meteomatics)'!J157)</f>
        <v>4</v>
      </c>
      <c r="L30" s="139">
        <f>COUNT('METCM (Meteomatics)'!K130,'METCM (Meteomatics)'!K139,'METCM (Meteomatics)'!K148,'METCM (Meteomatics)'!K157)</f>
        <v>4</v>
      </c>
      <c r="M30" s="117">
        <f>COUNT('METCM (Meteomatics)'!J131,'METCM (Meteomatics)'!J140,'METCM (Meteomatics)'!J149,'METCM (Meteomatics)'!J158)</f>
        <v>4</v>
      </c>
      <c r="N30" s="94">
        <f>COUNT('METCM (Meteomatics)'!K131,'METCM (Meteomatics)'!K140,'METCM (Meteomatics)'!K149,'METCM (Meteomatics)'!K158)</f>
        <v>4</v>
      </c>
    </row>
    <row r="31" spans="1:14">
      <c r="A31" s="62"/>
      <c r="B31" s="196"/>
      <c r="C31" s="196"/>
      <c r="D31" s="199"/>
      <c r="E31" s="199"/>
      <c r="F31" s="200"/>
      <c r="G31" s="196"/>
      <c r="H31" s="123" t="s">
        <v>218</v>
      </c>
      <c r="I31" s="148">
        <f>AVERAGE('METCM (Meteomatics)'!J129,'METCM (Meteomatics)'!J138,'METCM (Meteomatics)'!J147,'METCM (Meteomatics)'!J156)</f>
        <v>64.062204250000008</v>
      </c>
      <c r="J31" s="149">
        <f>AVERAGE('METCM (Meteomatics)'!K129,'METCM (Meteomatics)'!K138,'METCM (Meteomatics)'!K147,'METCM (Meteomatics)'!K156)</f>
        <v>20.733348750000001</v>
      </c>
      <c r="K31" s="148">
        <f>AVERAGE('METCM (Meteomatics)'!J130,'METCM (Meteomatics)'!J139,'METCM (Meteomatics)'!J148,'METCM (Meteomatics)'!J157)</f>
        <v>65.105204999999998</v>
      </c>
      <c r="L31" s="149">
        <f>AVERAGE('METCM (Meteomatics)'!K130,'METCM (Meteomatics)'!K139,'METCM (Meteomatics)'!K148,'METCM (Meteomatics)'!K157)</f>
        <v>20.737189000000001</v>
      </c>
      <c r="M31" s="148">
        <f>AVERAGE('METCM (Meteomatics)'!J131,'METCM (Meteomatics)'!J140,'METCM (Meteomatics)'!J149,'METCM (Meteomatics)'!J158)</f>
        <v>68.31008700000001</v>
      </c>
      <c r="N31" s="150">
        <f>AVERAGE('METCM (Meteomatics)'!K131,'METCM (Meteomatics)'!K140,'METCM (Meteomatics)'!K149,'METCM (Meteomatics)'!K158)</f>
        <v>20.749640250000002</v>
      </c>
    </row>
    <row r="32" spans="1:14">
      <c r="A32" s="62"/>
      <c r="B32" s="196"/>
      <c r="C32" s="196"/>
      <c r="D32" s="199"/>
      <c r="E32" s="199"/>
      <c r="F32" s="200"/>
      <c r="G32" s="196"/>
      <c r="H32" s="123" t="s">
        <v>219</v>
      </c>
      <c r="I32" s="148">
        <f>_xlfn.STDEV.S('METCM (Meteomatics)'!J129,'METCM (Meteomatics)'!J138,'METCM (Meteomatics)'!J147,'METCM (Meteomatics)'!J156)</f>
        <v>21.755507291080367</v>
      </c>
      <c r="J32" s="149">
        <f>_xlfn.STDEV.S('METCM (Meteomatics)'!K129,'METCM (Meteomatics)'!K138,'METCM (Meteomatics)'!K147,'METCM (Meteomatics)'!K156)</f>
        <v>0.1452461765357359</v>
      </c>
      <c r="K32" s="148">
        <f>_xlfn.STDEV.S('METCM (Meteomatics)'!J130,'METCM (Meteomatics)'!J139,'METCM (Meteomatics)'!J148,'METCM (Meteomatics)'!J157)</f>
        <v>21.084428102780048</v>
      </c>
      <c r="L32" s="149">
        <f>_xlfn.STDEV.S('METCM (Meteomatics)'!K130,'METCM (Meteomatics)'!K139,'METCM (Meteomatics)'!K148,'METCM (Meteomatics)'!K157)</f>
        <v>0.14281811841406197</v>
      </c>
      <c r="M32" s="148">
        <f>_xlfn.STDEV.S('METCM (Meteomatics)'!J131,'METCM (Meteomatics)'!J140,'METCM (Meteomatics)'!J149,'METCM (Meteomatics)'!J158)</f>
        <v>19.289937280966736</v>
      </c>
      <c r="N32" s="150">
        <f>_xlfn.STDEV.S('METCM (Meteomatics)'!K131,'METCM (Meteomatics)'!K140,'METCM (Meteomatics)'!K149,'METCM (Meteomatics)'!K158)</f>
        <v>0.13574037679918025</v>
      </c>
    </row>
    <row r="33" spans="1:14">
      <c r="A33" s="62"/>
      <c r="B33" s="196"/>
      <c r="C33" s="196"/>
      <c r="D33" s="199"/>
      <c r="E33" s="199"/>
      <c r="F33" s="200"/>
      <c r="G33" s="196"/>
      <c r="H33" s="123" t="s">
        <v>220</v>
      </c>
      <c r="I33" s="151">
        <f>MEDIAN('METCM (Meteomatics)'!J129,'METCM (Meteomatics)'!J138,'METCM (Meteomatics)'!J147,'METCM (Meteomatics)'!J156)</f>
        <v>54.298051000000001</v>
      </c>
      <c r="J33" s="152">
        <f>MEDIAN('METCM (Meteomatics)'!K129,'METCM (Meteomatics)'!K138,'METCM (Meteomatics)'!K147,'METCM (Meteomatics)'!K156)</f>
        <v>20.676596</v>
      </c>
      <c r="K33" s="151">
        <f>MEDIAN('METCM (Meteomatics)'!J130,'METCM (Meteomatics)'!J139,'METCM (Meteomatics)'!J148,'METCM (Meteomatics)'!J157)</f>
        <v>55.1877225</v>
      </c>
      <c r="L33" s="152">
        <f>MEDIAN('METCM (Meteomatics)'!K130,'METCM (Meteomatics)'!K139,'METCM (Meteomatics)'!K148,'METCM (Meteomatics)'!K157)</f>
        <v>20.680175500000001</v>
      </c>
      <c r="M33" s="151">
        <f>MEDIAN('METCM (Meteomatics)'!J131,'METCM (Meteomatics)'!J140,'METCM (Meteomatics)'!J149,'METCM (Meteomatics)'!J158)</f>
        <v>59.084114</v>
      </c>
      <c r="N33" s="153">
        <f>MEDIAN('METCM (Meteomatics)'!K131,'METCM (Meteomatics)'!K140,'METCM (Meteomatics)'!K149,'METCM (Meteomatics)'!K158)</f>
        <v>20.693234</v>
      </c>
    </row>
    <row r="34" spans="1:14">
      <c r="A34" s="62"/>
      <c r="B34" s="196"/>
      <c r="C34" s="196"/>
      <c r="D34" s="199"/>
      <c r="E34" s="199"/>
      <c r="F34" s="200"/>
      <c r="G34" s="196"/>
      <c r="H34" s="123" t="s">
        <v>221</v>
      </c>
      <c r="I34" s="154">
        <f ca="1">_xlfn.QUARTILE.INC(('METCM (Meteomatics)'!J129,'METCM (Meteomatics)'!J138,'METCM (Meteomatics)'!J147,'METCM (Meteomatics)'!J156),1)</f>
        <v>51.744756500000001</v>
      </c>
      <c r="J34" s="155">
        <f ca="1">_xlfn.QUARTILE.INC(('METCM (Meteomatics)'!K129,'METCM (Meteomatics)'!K138,'METCM (Meteomatics)'!K147,'METCM (Meteomatics)'!K156),1)</f>
        <v>20.638861499999997</v>
      </c>
      <c r="K34" s="154">
        <f ca="1">_xlfn.QUARTILE.INC(('METCM (Meteomatics)'!J130,'METCM (Meteomatics)'!J139,'METCM (Meteomatics)'!J148,'METCM (Meteomatics)'!J157),1)</f>
        <v>53.459352749999994</v>
      </c>
      <c r="L34" s="155">
        <f ca="1">_xlfn.QUARTILE.INC(('METCM (Meteomatics)'!K130,'METCM (Meteomatics)'!K139,'METCM (Meteomatics)'!K148,'METCM (Meteomatics)'!K157),1)</f>
        <v>20.644763750000003</v>
      </c>
      <c r="M34" s="154">
        <f ca="1">_xlfn.QUARTILE.INC(('METCM (Meteomatics)'!J131,'METCM (Meteomatics)'!J140,'METCM (Meteomatics)'!J149,'METCM (Meteomatics)'!J158),1)</f>
        <v>58.213811999999997</v>
      </c>
      <c r="N34" s="156">
        <f ca="1">_xlfn.QUARTILE.INC(('METCM (Meteomatics)'!K131,'METCM (Meteomatics)'!K140,'METCM (Meteomatics)'!K149,'METCM (Meteomatics)'!K158),1)</f>
        <v>20.66432125</v>
      </c>
    </row>
    <row r="35" spans="1:14">
      <c r="A35" s="62"/>
      <c r="B35" s="196"/>
      <c r="C35" s="196"/>
      <c r="D35" s="199"/>
      <c r="E35" s="199"/>
      <c r="F35" s="200"/>
      <c r="G35" s="196"/>
      <c r="H35" s="123" t="s">
        <v>222</v>
      </c>
      <c r="I35" s="154">
        <f ca="1">_xlfn.QUARTILE.INC(('METCM (Meteomatics)'!J129,'METCM (Meteomatics)'!J138,'METCM (Meteomatics)'!J147,'METCM (Meteomatics)'!J156),3)</f>
        <v>66.61549875</v>
      </c>
      <c r="J35" s="155">
        <f ca="1">_xlfn.QUARTILE.INC(('METCM (Meteomatics)'!K129,'METCM (Meteomatics)'!K138,'METCM (Meteomatics)'!K147,'METCM (Meteomatics)'!K156),3)</f>
        <v>20.77108325</v>
      </c>
      <c r="K35" s="154">
        <f ca="1">_xlfn.QUARTILE.INC(('METCM (Meteomatics)'!J130,'METCM (Meteomatics)'!J139,'METCM (Meteomatics)'!J148,'METCM (Meteomatics)'!J157),3)</f>
        <v>66.833574749999997</v>
      </c>
      <c r="L35" s="155">
        <f ca="1">_xlfn.QUARTILE.INC(('METCM (Meteomatics)'!K130,'METCM (Meteomatics)'!K139,'METCM (Meteomatics)'!K148,'METCM (Meteomatics)'!K157),3)</f>
        <v>20.772600749999999</v>
      </c>
      <c r="M35" s="154">
        <f ca="1">_xlfn.QUARTILE.INC(('METCM (Meteomatics)'!J131,'METCM (Meteomatics)'!J140,'METCM (Meteomatics)'!J149,'METCM (Meteomatics)'!J158),3)</f>
        <v>69.180389000000005</v>
      </c>
      <c r="N35" s="156">
        <f ca="1">_xlfn.QUARTILE.INC(('METCM (Meteomatics)'!K131,'METCM (Meteomatics)'!K140,'METCM (Meteomatics)'!K149,'METCM (Meteomatics)'!K158),3)</f>
        <v>20.778552999999999</v>
      </c>
    </row>
    <row r="36" spans="1:14">
      <c r="A36" s="62"/>
      <c r="B36" s="196"/>
      <c r="C36" s="196"/>
      <c r="D36" s="200"/>
      <c r="E36" s="199"/>
      <c r="F36" s="200"/>
      <c r="G36" s="196"/>
      <c r="H36" s="123" t="s">
        <v>224</v>
      </c>
      <c r="I36" s="151">
        <f ca="1">I35-I34</f>
        <v>14.870742249999999</v>
      </c>
      <c r="J36" s="152">
        <f ca="1">J35-J34</f>
        <v>0.13222175000000291</v>
      </c>
      <c r="K36" s="151">
        <f t="shared" ref="K36:N36" ca="1" si="9">K35-K34</f>
        <v>13.374222000000003</v>
      </c>
      <c r="L36" s="152">
        <f t="shared" ca="1" si="9"/>
        <v>0.12783699999999598</v>
      </c>
      <c r="M36" s="151">
        <f t="shared" ca="1" si="9"/>
        <v>10.966577000000008</v>
      </c>
      <c r="N36" s="153">
        <f t="shared" ca="1" si="9"/>
        <v>0.1142317499999983</v>
      </c>
    </row>
    <row r="37" spans="1:14">
      <c r="A37" s="62"/>
      <c r="B37" s="196"/>
      <c r="C37" s="196"/>
      <c r="D37" s="200"/>
      <c r="E37" s="199"/>
      <c r="F37" s="200"/>
      <c r="G37" s="196"/>
      <c r="H37" s="123" t="s">
        <v>225</v>
      </c>
      <c r="I37" s="151">
        <f>I31-_xlfn.CONFIDENCE.T(0.05,I32,I30)</f>
        <v>29.444337350964254</v>
      </c>
      <c r="J37" s="152">
        <f>J31-_xlfn.CONFIDENCE.T(0.05,J32,J30)</f>
        <v>20.502229671063631</v>
      </c>
      <c r="K37" s="151">
        <f t="shared" ref="K37:N37" si="10">K31-_xlfn.CONFIDENCE.T(0.05,K32,K30)</f>
        <v>31.555174842643815</v>
      </c>
      <c r="L37" s="152">
        <f t="shared" si="10"/>
        <v>20.509933503362799</v>
      </c>
      <c r="M37" s="151">
        <f t="shared" si="10"/>
        <v>37.615492185516473</v>
      </c>
      <c r="N37" s="153">
        <f t="shared" si="10"/>
        <v>20.533647019688818</v>
      </c>
    </row>
    <row r="38" spans="1:14">
      <c r="A38" s="62"/>
      <c r="B38" s="196"/>
      <c r="C38" s="196"/>
      <c r="D38" s="200"/>
      <c r="E38" s="199"/>
      <c r="F38" s="200"/>
      <c r="G38" s="196">
        <v>3000</v>
      </c>
      <c r="H38" s="123" t="s">
        <v>226</v>
      </c>
      <c r="I38" s="151">
        <f>I31+_xlfn.CONFIDENCE.T(0.05,I32,I30)</f>
        <v>98.680071149035768</v>
      </c>
      <c r="J38" s="152">
        <f>J31+_xlfn.CONFIDENCE.T(0.05,J32,J30)</f>
        <v>20.964467828936371</v>
      </c>
      <c r="K38" s="151">
        <f t="shared" ref="K38:N38" si="11">K31+_xlfn.CONFIDENCE.T(0.05,K32,K30)</f>
        <v>98.655235157356174</v>
      </c>
      <c r="L38" s="152">
        <f t="shared" si="11"/>
        <v>20.964444496637203</v>
      </c>
      <c r="M38" s="151">
        <f t="shared" si="11"/>
        <v>99.004681814483547</v>
      </c>
      <c r="N38" s="153">
        <f t="shared" si="11"/>
        <v>20.965633480311187</v>
      </c>
    </row>
    <row r="39" spans="1:14">
      <c r="A39" s="63"/>
      <c r="B39" s="196"/>
      <c r="C39" s="196"/>
      <c r="D39" s="200"/>
      <c r="E39" s="204" t="s">
        <v>42</v>
      </c>
      <c r="F39" s="200"/>
      <c r="G39" s="196"/>
      <c r="H39" s="123" t="s">
        <v>217</v>
      </c>
      <c r="I39" s="111">
        <f>COUNT('METCM (Meteomatics)'!J132,'METCM (Meteomatics)'!J141,'METCM (Meteomatics)'!J150,'METCM (Meteomatics)'!J159)</f>
        <v>4</v>
      </c>
      <c r="J39" s="132">
        <f>COUNT('METCM (Meteomatics)'!K132,'METCM (Meteomatics)'!K141,'METCM (Meteomatics)'!K150,'METCM (Meteomatics)'!K159)</f>
        <v>4</v>
      </c>
      <c r="K39" s="111">
        <f>COUNT('METCM (Meteomatics)'!J133,'METCM (Meteomatics)'!J142,'METCM (Meteomatics)'!J151,'METCM (Meteomatics)'!J160)</f>
        <v>4</v>
      </c>
      <c r="L39" s="132">
        <f>COUNT('METCM (Meteomatics)'!K133,'METCM (Meteomatics)'!K142,'METCM (Meteomatics)'!K151,'METCM (Meteomatics)'!K160)</f>
        <v>4</v>
      </c>
      <c r="M39" s="111">
        <f>COUNT('METCM (Meteomatics)'!J134,'METCM (Meteomatics)'!J143,'METCM (Meteomatics)'!J152,'METCM (Meteomatics)'!J161)</f>
        <v>4</v>
      </c>
      <c r="N39" s="88">
        <f>COUNT('METCM (Meteomatics)'!K134,'METCM (Meteomatics)'!K143,'METCM (Meteomatics)'!K152,'METCM (Meteomatics)'!K161)</f>
        <v>4</v>
      </c>
    </row>
    <row r="40" spans="1:14">
      <c r="A40" s="63"/>
      <c r="B40" s="196"/>
      <c r="C40" s="196"/>
      <c r="D40" s="200"/>
      <c r="E40" s="204"/>
      <c r="F40" s="200"/>
      <c r="G40" s="196"/>
      <c r="H40" s="123" t="s">
        <v>218</v>
      </c>
      <c r="I40" s="157">
        <f>AVERAGE('METCM (Meteomatics)'!J132,'METCM (Meteomatics)'!J141,'METCM (Meteomatics)'!J150,'METCM (Meteomatics)'!J159)</f>
        <v>182.55670824999999</v>
      </c>
      <c r="J40" s="158">
        <f>AVERAGE('METCM (Meteomatics)'!K132,'METCM (Meteomatics)'!K141,'METCM (Meteomatics)'!K150,'METCM (Meteomatics)'!K159)</f>
        <v>28.084126000000001</v>
      </c>
      <c r="K40" s="157">
        <f>AVERAGE('METCM (Meteomatics)'!J133,'METCM (Meteomatics)'!J142,'METCM (Meteomatics)'!J151,'METCM (Meteomatics)'!J160)</f>
        <v>187.33711949999997</v>
      </c>
      <c r="L40" s="158">
        <f>AVERAGE('METCM (Meteomatics)'!K133,'METCM (Meteomatics)'!K142,'METCM (Meteomatics)'!K151,'METCM (Meteomatics)'!K160)</f>
        <v>28.118151749999999</v>
      </c>
      <c r="M40" s="157">
        <f>AVERAGE('METCM (Meteomatics)'!J134,'METCM (Meteomatics)'!J143,'METCM (Meteomatics)'!J152,'METCM (Meteomatics)'!J161)</f>
        <v>202.2321005</v>
      </c>
      <c r="N40" s="159">
        <f>AVERAGE('METCM (Meteomatics)'!K134,'METCM (Meteomatics)'!K143,'METCM (Meteomatics)'!K152,'METCM (Meteomatics)'!K161)</f>
        <v>28.227115500000004</v>
      </c>
    </row>
    <row r="41" spans="1:14">
      <c r="A41" s="63"/>
      <c r="B41" s="196"/>
      <c r="C41" s="196"/>
      <c r="D41" s="200"/>
      <c r="E41" s="204"/>
      <c r="F41" s="200"/>
      <c r="G41" s="196"/>
      <c r="H41" s="123" t="s">
        <v>219</v>
      </c>
      <c r="I41" s="157">
        <f>_xlfn.STDEV.S('METCM (Meteomatics)'!J132,'METCM (Meteomatics)'!J141,'METCM (Meteomatics)'!J150,'METCM (Meteomatics)'!J159)</f>
        <v>160.30777075233476</v>
      </c>
      <c r="J41" s="158">
        <f>_xlfn.STDEV.S('METCM (Meteomatics)'!K132,'METCM (Meteomatics)'!K141,'METCM (Meteomatics)'!K150,'METCM (Meteomatics)'!K159)</f>
        <v>0.94447306900549954</v>
      </c>
      <c r="K41" s="157">
        <f>_xlfn.STDEV.S('METCM (Meteomatics)'!J133,'METCM (Meteomatics)'!J142,'METCM (Meteomatics)'!J151,'METCM (Meteomatics)'!J160)</f>
        <v>156.98928777992521</v>
      </c>
      <c r="L41" s="158">
        <f>_xlfn.STDEV.S('METCM (Meteomatics)'!K133,'METCM (Meteomatics)'!K142,'METCM (Meteomatics)'!K151,'METCM (Meteomatics)'!K160)</f>
        <v>0.92084418321319828</v>
      </c>
      <c r="M41" s="157">
        <f>_xlfn.STDEV.S('METCM (Meteomatics)'!J134,'METCM (Meteomatics)'!J143,'METCM (Meteomatics)'!J152,'METCM (Meteomatics)'!J161)</f>
        <v>147.6298997232513</v>
      </c>
      <c r="N41" s="159">
        <f>_xlfn.STDEV.S('METCM (Meteomatics)'!K134,'METCM (Meteomatics)'!K143,'METCM (Meteomatics)'!K152,'METCM (Meteomatics)'!K161)</f>
        <v>0.85191109082207972</v>
      </c>
    </row>
    <row r="42" spans="1:14">
      <c r="A42" s="63"/>
      <c r="B42" s="196"/>
      <c r="C42" s="196"/>
      <c r="D42" s="200"/>
      <c r="E42" s="204"/>
      <c r="F42" s="200"/>
      <c r="G42" s="196"/>
      <c r="H42" s="123" t="s">
        <v>220</v>
      </c>
      <c r="I42" s="160">
        <f>MEDIAN('METCM (Meteomatics)'!J132,'METCM (Meteomatics)'!J141,'METCM (Meteomatics)'!J150,'METCM (Meteomatics)'!J159)</f>
        <v>123.9904075</v>
      </c>
      <c r="J42" s="161">
        <f>MEDIAN('METCM (Meteomatics)'!K132,'METCM (Meteomatics)'!K141,'METCM (Meteomatics)'!K150,'METCM (Meteomatics)'!K159)</f>
        <v>27.7225325</v>
      </c>
      <c r="K42" s="160">
        <f>MEDIAN('METCM (Meteomatics)'!J133,'METCM (Meteomatics)'!J142,'METCM (Meteomatics)'!J151,'METCM (Meteomatics)'!J160)</f>
        <v>128.66036199999999</v>
      </c>
      <c r="L42" s="161">
        <f>MEDIAN('METCM (Meteomatics)'!K133,'METCM (Meteomatics)'!K142,'METCM (Meteomatics)'!K151,'METCM (Meteomatics)'!K160)</f>
        <v>27.754752</v>
      </c>
      <c r="M42" s="160">
        <f>MEDIAN('METCM (Meteomatics)'!J134,'METCM (Meteomatics)'!J143,'METCM (Meteomatics)'!J152,'METCM (Meteomatics)'!J161)</f>
        <v>144.010141</v>
      </c>
      <c r="N42" s="162">
        <f>MEDIAN('METCM (Meteomatics)'!K134,'METCM (Meteomatics)'!K143,'METCM (Meteomatics)'!K152,'METCM (Meteomatics)'!K161)</f>
        <v>27.862877000000001</v>
      </c>
    </row>
    <row r="43" spans="1:14">
      <c r="A43" s="63"/>
      <c r="B43" s="196"/>
      <c r="C43" s="196"/>
      <c r="D43" s="200"/>
      <c r="E43" s="204"/>
      <c r="F43" s="200"/>
      <c r="G43" s="196"/>
      <c r="H43" s="123" t="s">
        <v>221</v>
      </c>
      <c r="I43" s="160">
        <f ca="1">_xlfn.QUARTILE.INC(('METCM (Meteomatics)'!J132,'METCM (Meteomatics)'!J141,'METCM (Meteomatics)'!J150,'METCM (Meteomatics)'!J159),1)</f>
        <v>74.875998500000009</v>
      </c>
      <c r="J43" s="161">
        <f ca="1">_xlfn.QUARTILE.INC(('METCM (Meteomatics)'!K132,'METCM (Meteomatics)'!K141,'METCM (Meteomatics)'!K150,'METCM (Meteomatics)'!K159),1)</f>
        <v>27.473308249999999</v>
      </c>
      <c r="K43" s="160">
        <f ca="1">_xlfn.QUARTILE.INC(('METCM (Meteomatics)'!J133,'METCM (Meteomatics)'!J142,'METCM (Meteomatics)'!J151,'METCM (Meteomatics)'!J160),1)</f>
        <v>82.528968999999989</v>
      </c>
      <c r="L43" s="161">
        <f ca="1">_xlfn.QUARTILE.INC(('METCM (Meteomatics)'!K133,'METCM (Meteomatics)'!K142,'METCM (Meteomatics)'!K151,'METCM (Meteomatics)'!K160),1)</f>
        <v>27.528995500000001</v>
      </c>
      <c r="M43" s="160">
        <f ca="1">_xlfn.QUARTILE.INC(('METCM (Meteomatics)'!J134,'METCM (Meteomatics)'!J143,'METCM (Meteomatics)'!J152,'METCM (Meteomatics)'!J161),1)</f>
        <v>105.78013075</v>
      </c>
      <c r="N43" s="162">
        <f ca="1">_xlfn.QUARTILE.INC(('METCM (Meteomatics)'!K134,'METCM (Meteomatics)'!K143,'METCM (Meteomatics)'!K152,'METCM (Meteomatics)'!K161),1)</f>
        <v>27.704710250000002</v>
      </c>
    </row>
    <row r="44" spans="1:14">
      <c r="A44" s="63"/>
      <c r="B44" s="196"/>
      <c r="C44" s="196"/>
      <c r="D44" s="200"/>
      <c r="E44" s="204"/>
      <c r="F44" s="200"/>
      <c r="G44" s="196"/>
      <c r="H44" s="123" t="s">
        <v>222</v>
      </c>
      <c r="I44" s="160">
        <f ca="1">_xlfn.QUARTILE.INC(('METCM (Meteomatics)'!J132,'METCM (Meteomatics)'!J141,'METCM (Meteomatics)'!J150,'METCM (Meteomatics)'!J159),3)</f>
        <v>231.67111725000001</v>
      </c>
      <c r="J44" s="161">
        <f ca="1">_xlfn.QUARTILE.INC(('METCM (Meteomatics)'!K132,'METCM (Meteomatics)'!K141,'METCM (Meteomatics)'!K150,'METCM (Meteomatics)'!K159),3)</f>
        <v>28.333350249999999</v>
      </c>
      <c r="K44" s="160">
        <f ca="1">_xlfn.QUARTILE.INC(('METCM (Meteomatics)'!J133,'METCM (Meteomatics)'!J142,'METCM (Meteomatics)'!J151,'METCM (Meteomatics)'!J160),3)</f>
        <v>233.46851249999997</v>
      </c>
      <c r="L44" s="161">
        <f ca="1">_xlfn.QUARTILE.INC(('METCM (Meteomatics)'!K133,'METCM (Meteomatics)'!K142,'METCM (Meteomatics)'!K151,'METCM (Meteomatics)'!K160),3)</f>
        <v>28.343908249999998</v>
      </c>
      <c r="M44" s="160">
        <f ca="1">_xlfn.QUARTILE.INC(('METCM (Meteomatics)'!J134,'METCM (Meteomatics)'!J143,'METCM (Meteomatics)'!J152,'METCM (Meteomatics)'!J161),3)</f>
        <v>240.46211074999999</v>
      </c>
      <c r="N44" s="162">
        <f ca="1">_xlfn.QUARTILE.INC(('METCM (Meteomatics)'!K134,'METCM (Meteomatics)'!K143,'METCM (Meteomatics)'!K152,'METCM (Meteomatics)'!K161),3)</f>
        <v>28.385282250000003</v>
      </c>
    </row>
    <row r="45" spans="1:14">
      <c r="A45" s="63"/>
      <c r="B45" s="196"/>
      <c r="C45" s="196"/>
      <c r="D45" s="200"/>
      <c r="E45" s="204"/>
      <c r="F45" s="200"/>
      <c r="G45" s="196"/>
      <c r="H45" s="123" t="s">
        <v>224</v>
      </c>
      <c r="I45" s="160">
        <f ca="1">I44-I43</f>
        <v>156.79511875</v>
      </c>
      <c r="J45" s="161">
        <f ca="1">J44-J43</f>
        <v>0.86004199999999997</v>
      </c>
      <c r="K45" s="160">
        <f t="shared" ref="K45:N45" ca="1" si="12">K44-K43</f>
        <v>150.93954349999998</v>
      </c>
      <c r="L45" s="161">
        <f t="shared" ca="1" si="12"/>
        <v>0.81491274999999774</v>
      </c>
      <c r="M45" s="160">
        <f t="shared" ca="1" si="12"/>
        <v>134.68198000000001</v>
      </c>
      <c r="N45" s="162">
        <f t="shared" ca="1" si="12"/>
        <v>0.68057200000000151</v>
      </c>
    </row>
    <row r="46" spans="1:14">
      <c r="A46" s="63"/>
      <c r="B46" s="196"/>
      <c r="C46" s="196"/>
      <c r="D46" s="200"/>
      <c r="E46" s="204"/>
      <c r="F46" s="200"/>
      <c r="G46" s="196"/>
      <c r="H46" s="123" t="s">
        <v>225</v>
      </c>
      <c r="I46" s="160">
        <f>I40-_xlfn.CONFIDENCE.T(0.05,I41,I39)</f>
        <v>-72.528728119517808</v>
      </c>
      <c r="J46" s="161">
        <f>J40-_xlfn.CONFIDENCE.T(0.05,J41,J39)</f>
        <v>26.581258585551744</v>
      </c>
      <c r="K46" s="160">
        <f t="shared" ref="K46:N46" si="13">K40-_xlfn.CONFIDENCE.T(0.05,K41,K39)</f>
        <v>-62.467869932171993</v>
      </c>
      <c r="L46" s="161">
        <f t="shared" si="13"/>
        <v>26.652883165695581</v>
      </c>
      <c r="M46" s="160">
        <f t="shared" si="13"/>
        <v>-32.680013961832771</v>
      </c>
      <c r="N46" s="162">
        <f t="shared" si="13"/>
        <v>26.871534848291532</v>
      </c>
    </row>
    <row r="47" spans="1:14">
      <c r="A47" s="63"/>
      <c r="B47" s="196"/>
      <c r="C47" s="196"/>
      <c r="D47" s="200"/>
      <c r="E47" s="204"/>
      <c r="F47" s="200"/>
      <c r="G47" s="196"/>
      <c r="H47" s="123" t="s">
        <v>226</v>
      </c>
      <c r="I47" s="160">
        <f>I40+_xlfn.CONFIDENCE.T(0.05,I41,I39)</f>
        <v>437.64214461951781</v>
      </c>
      <c r="J47" s="161">
        <f>J40+_xlfn.CONFIDENCE.T(0.05,J41,J39)</f>
        <v>29.586993414448258</v>
      </c>
      <c r="K47" s="160">
        <f t="shared" ref="K47:N47" si="14">K40+_xlfn.CONFIDENCE.T(0.05,K41,K39)</f>
        <v>437.14210893217194</v>
      </c>
      <c r="L47" s="161">
        <f t="shared" si="14"/>
        <v>29.583420334304417</v>
      </c>
      <c r="M47" s="160">
        <f t="shared" si="14"/>
        <v>437.14421496183274</v>
      </c>
      <c r="N47" s="162">
        <f t="shared" si="14"/>
        <v>29.582696151708475</v>
      </c>
    </row>
    <row r="48" spans="1:14">
      <c r="A48" s="46"/>
      <c r="B48" s="196"/>
      <c r="C48" s="196"/>
      <c r="D48" s="200"/>
      <c r="E48" s="206" t="s">
        <v>47</v>
      </c>
      <c r="F48" s="200"/>
      <c r="G48" s="196"/>
      <c r="H48" s="123" t="s">
        <v>217</v>
      </c>
      <c r="I48" s="97">
        <f>COUNT('METCM (Meteomatics)'!J135,'METCM (Meteomatics)'!J144,'METCM (Meteomatics)'!J153,'METCM (Meteomatics)'!J162)</f>
        <v>4</v>
      </c>
      <c r="J48" s="135">
        <f>COUNT('METCM (Meteomatics)'!K135,'METCM (Meteomatics)'!K144,'METCM (Meteomatics)'!K153,'METCM (Meteomatics)'!K162)</f>
        <v>4</v>
      </c>
      <c r="K48" s="97">
        <f>COUNT('METCM (Meteomatics)'!J136,'METCM (Meteomatics)'!J145,'METCM (Meteomatics)'!J154,'METCM (Meteomatics)'!J163)</f>
        <v>4</v>
      </c>
      <c r="L48" s="135">
        <f>COUNT('METCM (Meteomatics)'!K136,'METCM (Meteomatics)'!K145,'METCM (Meteomatics)'!K154,'METCM (Meteomatics)'!K163)</f>
        <v>4</v>
      </c>
      <c r="M48" s="97">
        <f>COUNT('METCM (Meteomatics)'!J137,'METCM (Meteomatics)'!J146,'METCM (Meteomatics)'!J155,'METCM (Meteomatics)'!J164)</f>
        <v>4</v>
      </c>
      <c r="N48" s="90">
        <f>COUNT('METCM (Meteomatics)'!K137,'METCM (Meteomatics)'!K146,'METCM (Meteomatics)'!K155,'METCM (Meteomatics)'!K164)</f>
        <v>4</v>
      </c>
    </row>
    <row r="49" spans="1:16">
      <c r="A49" s="46"/>
      <c r="B49" s="196"/>
      <c r="C49" s="196"/>
      <c r="D49" s="200"/>
      <c r="E49" s="206"/>
      <c r="F49" s="200"/>
      <c r="G49" s="196"/>
      <c r="H49" s="123" t="s">
        <v>218</v>
      </c>
      <c r="I49" s="169">
        <f>AVERAGE('METCM (Meteomatics)'!J135,'METCM (Meteomatics)'!J144,'METCM (Meteomatics)'!J153,'METCM (Meteomatics)'!J162)</f>
        <v>298.61461674999998</v>
      </c>
      <c r="J49" s="170">
        <f>AVERAGE('METCM (Meteomatics)'!K135,'METCM (Meteomatics)'!K144,'METCM (Meteomatics)'!K153,'METCM (Meteomatics)'!K162)</f>
        <v>36.723410000000001</v>
      </c>
      <c r="K49" s="169">
        <f>AVERAGE('METCM (Meteomatics)'!J136,'METCM (Meteomatics)'!J145,'METCM (Meteomatics)'!J154,'METCM (Meteomatics)'!J163)</f>
        <v>306.96371599999998</v>
      </c>
      <c r="L49" s="170">
        <f>AVERAGE('METCM (Meteomatics)'!K136,'METCM (Meteomatics)'!K145,'METCM (Meteomatics)'!K154,'METCM (Meteomatics)'!K163)</f>
        <v>36.780874249999997</v>
      </c>
      <c r="M49" s="169">
        <f>AVERAGE('METCM (Meteomatics)'!J137,'METCM (Meteomatics)'!J146,'METCM (Meteomatics)'!J155,'METCM (Meteomatics)'!J164)</f>
        <v>332.62031525000003</v>
      </c>
      <c r="N49" s="171">
        <f>AVERAGE('METCM (Meteomatics)'!K137,'METCM (Meteomatics)'!K146,'METCM (Meteomatics)'!K155,'METCM (Meteomatics)'!K164)</f>
        <v>36.966951999999999</v>
      </c>
    </row>
    <row r="50" spans="1:16">
      <c r="A50" s="46"/>
      <c r="B50" s="196"/>
      <c r="C50" s="196"/>
      <c r="D50" s="200"/>
      <c r="E50" s="206"/>
      <c r="F50" s="200"/>
      <c r="G50" s="196"/>
      <c r="H50" s="123" t="s">
        <v>219</v>
      </c>
      <c r="I50" s="169">
        <f>_xlfn.STDEV.S('METCM (Meteomatics)'!J135,'METCM (Meteomatics)'!J144,'METCM (Meteomatics)'!J153,'METCM (Meteomatics)'!J162)</f>
        <v>288.41868025441789</v>
      </c>
      <c r="J50" s="170">
        <f>_xlfn.STDEV.S('METCM (Meteomatics)'!K135,'METCM (Meteomatics)'!K144,'METCM (Meteomatics)'!K153,'METCM (Meteomatics)'!K162)</f>
        <v>2.1163502279775601</v>
      </c>
      <c r="K50" s="169">
        <f>_xlfn.STDEV.S('METCM (Meteomatics)'!J136,'METCM (Meteomatics)'!J145,'METCM (Meteomatics)'!J154,'METCM (Meteomatics)'!J163)</f>
        <v>282.51407682991032</v>
      </c>
      <c r="L50" s="170">
        <f>_xlfn.STDEV.S('METCM (Meteomatics)'!K136,'METCM (Meteomatics)'!K145,'METCM (Meteomatics)'!K154,'METCM (Meteomatics)'!K163)</f>
        <v>2.0795087010529487</v>
      </c>
      <c r="M50" s="169">
        <f>_xlfn.STDEV.S('METCM (Meteomatics)'!J137,'METCM (Meteomatics)'!J146,'METCM (Meteomatics)'!J155,'METCM (Meteomatics)'!J164)</f>
        <v>266.15083848104047</v>
      </c>
      <c r="N50" s="171">
        <f>_xlfn.STDEV.S('METCM (Meteomatics)'!K137,'METCM (Meteomatics)'!K146,'METCM (Meteomatics)'!K155,'METCM (Meteomatics)'!K164)</f>
        <v>1.9717034196888386</v>
      </c>
    </row>
    <row r="51" spans="1:16">
      <c r="A51" s="46"/>
      <c r="B51" s="196"/>
      <c r="C51" s="196"/>
      <c r="D51" s="200"/>
      <c r="E51" s="206"/>
      <c r="F51" s="200"/>
      <c r="G51" s="196"/>
      <c r="H51" s="123" t="s">
        <v>220</v>
      </c>
      <c r="I51" s="172">
        <f>MEDIAN('METCM (Meteomatics)'!J135,'METCM (Meteomatics)'!J144,'METCM (Meteomatics)'!J153,'METCM (Meteomatics)'!J162)</f>
        <v>198.399182</v>
      </c>
      <c r="J51" s="173">
        <f>MEDIAN('METCM (Meteomatics)'!K135,'METCM (Meteomatics)'!K144,'METCM (Meteomatics)'!K153,'METCM (Meteomatics)'!K162)</f>
        <v>35.9130495</v>
      </c>
      <c r="K51" s="172">
        <f>MEDIAN('METCM (Meteomatics)'!J136,'METCM (Meteomatics)'!J145,'METCM (Meteomatics)'!J154,'METCM (Meteomatics)'!J163)</f>
        <v>206.82360449999999</v>
      </c>
      <c r="L51" s="173">
        <f>MEDIAN('METCM (Meteomatics)'!K136,'METCM (Meteomatics)'!K145,'METCM (Meteomatics)'!K154,'METCM (Meteomatics)'!K163)</f>
        <v>35.974881499999995</v>
      </c>
      <c r="M51" s="172">
        <f>MEDIAN('METCM (Meteomatics)'!J137,'METCM (Meteomatics)'!J146,'METCM (Meteomatics)'!J155,'METCM (Meteomatics)'!J164)</f>
        <v>233.91898750000001</v>
      </c>
      <c r="N51" s="174">
        <f>MEDIAN('METCM (Meteomatics)'!K137,'METCM (Meteomatics)'!K146,'METCM (Meteomatics)'!K155,'METCM (Meteomatics)'!K164)</f>
        <v>36.182450500000002</v>
      </c>
    </row>
    <row r="52" spans="1:16">
      <c r="A52" s="46"/>
      <c r="B52" s="196"/>
      <c r="C52" s="196"/>
      <c r="D52" s="200"/>
      <c r="E52" s="206"/>
      <c r="F52" s="200"/>
      <c r="G52" s="196"/>
      <c r="H52" s="123" t="s">
        <v>221</v>
      </c>
      <c r="I52" s="172">
        <f ca="1">_xlfn.QUARTILE.INC(('METCM (Meteomatics)'!J135,'METCM (Meteomatics)'!J144,'METCM (Meteomatics)'!J153,'METCM (Meteomatics)'!J162),1)</f>
        <v>102.27428974999999</v>
      </c>
      <c r="J52" s="173">
        <f ca="1">_xlfn.QUARTILE.INC(('METCM (Meteomatics)'!K135,'METCM (Meteomatics)'!K144,'METCM (Meteomatics)'!K153,'METCM (Meteomatics)'!K162),1)</f>
        <v>35.381195750000003</v>
      </c>
      <c r="K52" s="172">
        <f ca="1">_xlfn.QUARTILE.INC(('METCM (Meteomatics)'!J136,'METCM (Meteomatics)'!J145,'METCM (Meteomatics)'!J154,'METCM (Meteomatics)'!J163),1)</f>
        <v>115.90548625</v>
      </c>
      <c r="L52" s="173">
        <f ca="1">_xlfn.QUARTILE.INC(('METCM (Meteomatics)'!K136,'METCM (Meteomatics)'!K145,'METCM (Meteomatics)'!K154,'METCM (Meteomatics)'!K163),1)</f>
        <v>35.479021250000002</v>
      </c>
      <c r="M52" s="172">
        <f ca="1">_xlfn.QUARTILE.INC(('METCM (Meteomatics)'!J137,'METCM (Meteomatics)'!J146,'METCM (Meteomatics)'!J155,'METCM (Meteomatics)'!J164),1)</f>
        <v>156.451325</v>
      </c>
      <c r="N52" s="174">
        <f ca="1">_xlfn.QUARTILE.INC(('METCM (Meteomatics)'!K137,'METCM (Meteomatics)'!K146,'METCM (Meteomatics)'!K155,'METCM (Meteomatics)'!K164),1)</f>
        <v>35.788562249999998</v>
      </c>
    </row>
    <row r="53" spans="1:16">
      <c r="A53" s="46"/>
      <c r="B53" s="196"/>
      <c r="C53" s="196"/>
      <c r="D53" s="200"/>
      <c r="E53" s="206"/>
      <c r="F53" s="200"/>
      <c r="G53" s="196"/>
      <c r="H53" s="123" t="s">
        <v>222</v>
      </c>
      <c r="I53" s="172">
        <f ca="1">_xlfn.QUARTILE.INC(('METCM (Meteomatics)'!J135,'METCM (Meteomatics)'!J144,'METCM (Meteomatics)'!J153,'METCM (Meteomatics)'!J162),3)</f>
        <v>394.739509</v>
      </c>
      <c r="J53" s="173">
        <f ca="1">_xlfn.QUARTILE.INC(('METCM (Meteomatics)'!K135,'METCM (Meteomatics)'!K144,'METCM (Meteomatics)'!K153,'METCM (Meteomatics)'!K162),3)</f>
        <v>37.255263749999997</v>
      </c>
      <c r="K53" s="172">
        <f ca="1">_xlfn.QUARTILE.INC(('METCM (Meteomatics)'!J136,'METCM (Meteomatics)'!J145,'METCM (Meteomatics)'!J154,'METCM (Meteomatics)'!J163),3)</f>
        <v>397.88183425</v>
      </c>
      <c r="L53" s="173">
        <f ca="1">_xlfn.QUARTILE.INC(('METCM (Meteomatics)'!K136,'METCM (Meteomatics)'!K145,'METCM (Meteomatics)'!K154,'METCM (Meteomatics)'!K163),3)</f>
        <v>37.276734499999996</v>
      </c>
      <c r="M53" s="172">
        <f ca="1">_xlfn.QUARTILE.INC(('METCM (Meteomatics)'!J137,'METCM (Meteomatics)'!J146,'METCM (Meteomatics)'!J155,'METCM (Meteomatics)'!J164),3)</f>
        <v>410.08797775000005</v>
      </c>
      <c r="N53" s="174">
        <f ca="1">_xlfn.QUARTILE.INC(('METCM (Meteomatics)'!K137,'METCM (Meteomatics)'!K146,'METCM (Meteomatics)'!K155,'METCM (Meteomatics)'!K164),3)</f>
        <v>37.360840249999995</v>
      </c>
    </row>
    <row r="54" spans="1:16">
      <c r="A54" s="46"/>
      <c r="B54" s="196"/>
      <c r="C54" s="196"/>
      <c r="D54" s="200"/>
      <c r="E54" s="206"/>
      <c r="F54" s="200"/>
      <c r="G54" s="196"/>
      <c r="H54" s="123" t="s">
        <v>224</v>
      </c>
      <c r="I54" s="172">
        <f ca="1">I53-I52</f>
        <v>292.46521925000002</v>
      </c>
      <c r="J54" s="173">
        <f ca="1">J53-J52</f>
        <v>1.8740679999999941</v>
      </c>
      <c r="K54" s="172">
        <f t="shared" ref="K54:N54" ca="1" si="15">K53-K52</f>
        <v>281.97634800000003</v>
      </c>
      <c r="L54" s="173">
        <f t="shared" ca="1" si="15"/>
        <v>1.7977132499999939</v>
      </c>
      <c r="M54" s="172">
        <f t="shared" ca="1" si="15"/>
        <v>253.63665275000005</v>
      </c>
      <c r="N54" s="174">
        <f t="shared" ca="1" si="15"/>
        <v>1.5722779999999972</v>
      </c>
    </row>
    <row r="55" spans="1:16">
      <c r="A55" s="46"/>
      <c r="B55" s="196"/>
      <c r="C55" s="196"/>
      <c r="D55" s="200"/>
      <c r="E55" s="206"/>
      <c r="F55" s="200"/>
      <c r="G55" s="196"/>
      <c r="H55" s="123" t="s">
        <v>225</v>
      </c>
      <c r="I55" s="172">
        <f>I49-_xlfn.CONFIDENCE.T(0.05,I50,I48)</f>
        <v>-160.32386492523784</v>
      </c>
      <c r="J55" s="173">
        <f>J49-_xlfn.CONFIDENCE.T(0.05,J50,J48)</f>
        <v>33.355824518143237</v>
      </c>
      <c r="K55" s="172">
        <f t="shared" ref="K55:N55" si="16">K49-_xlfn.CONFIDENCE.T(0.05,K50,K48)</f>
        <v>-142.57922399899303</v>
      </c>
      <c r="L55" s="173">
        <f t="shared" si="16"/>
        <v>33.471911858764358</v>
      </c>
      <c r="M55" s="172">
        <f t="shared" si="16"/>
        <v>-90.885061036074205</v>
      </c>
      <c r="N55" s="174">
        <f t="shared" si="16"/>
        <v>33.829531868448001</v>
      </c>
    </row>
    <row r="56" spans="1:16">
      <c r="A56" s="93"/>
      <c r="B56" s="203"/>
      <c r="C56" s="203"/>
      <c r="D56" s="205"/>
      <c r="E56" s="208"/>
      <c r="F56" s="205"/>
      <c r="G56" s="203"/>
      <c r="H56" s="142" t="s">
        <v>226</v>
      </c>
      <c r="I56" s="175">
        <f>I49+_xlfn.CONFIDENCE.T(0.05,I50,I48)</f>
        <v>757.55309842523775</v>
      </c>
      <c r="J56" s="176">
        <f>J49+_xlfn.CONFIDENCE.T(0.05,J50,J48)</f>
        <v>40.090995481856766</v>
      </c>
      <c r="K56" s="175">
        <f t="shared" ref="K56:N56" si="17">K49+_xlfn.CONFIDENCE.T(0.05,K50,K48)</f>
        <v>756.50665599899298</v>
      </c>
      <c r="L56" s="176">
        <f t="shared" si="17"/>
        <v>40.089836641235635</v>
      </c>
      <c r="M56" s="175">
        <f t="shared" si="17"/>
        <v>756.12569153607433</v>
      </c>
      <c r="N56" s="177">
        <f t="shared" si="17"/>
        <v>40.104372131551997</v>
      </c>
    </row>
    <row r="57" spans="1:16">
      <c r="A57" s="61"/>
      <c r="B57" s="195" t="s">
        <v>29</v>
      </c>
      <c r="C57" s="195" t="s">
        <v>11</v>
      </c>
      <c r="D57" s="198" t="s">
        <v>18</v>
      </c>
      <c r="E57" s="198" t="s">
        <v>40</v>
      </c>
      <c r="F57" s="202" t="s">
        <v>228</v>
      </c>
      <c r="G57" s="195">
        <v>3000</v>
      </c>
      <c r="H57" s="122" t="s">
        <v>217</v>
      </c>
      <c r="I57" s="107">
        <f>COUNT('METCM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14</v>
      </c>
      <c r="J57" s="127">
        <f>COUNT('METCM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14</v>
      </c>
      <c r="K57" s="107">
        <f>COUNT('METCM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14</v>
      </c>
      <c r="L57" s="127">
        <f>COUNT('METCM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14</v>
      </c>
      <c r="M57" s="107">
        <f>COUNT('METCM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14</v>
      </c>
      <c r="N57" s="85">
        <f>COUNT('METCM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14</v>
      </c>
    </row>
    <row r="58" spans="1:16">
      <c r="A58" s="62"/>
      <c r="B58" s="196"/>
      <c r="C58" s="196"/>
      <c r="D58" s="199"/>
      <c r="E58" s="199"/>
      <c r="F58" s="200"/>
      <c r="G58" s="196"/>
      <c r="H58" s="123" t="s">
        <v>218</v>
      </c>
      <c r="I58" s="148">
        <f>AVERAGE('METCM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67.676992999999996</v>
      </c>
      <c r="J58" s="149">
        <f>AVERAGE('METCM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22.531339071428569</v>
      </c>
      <c r="K58" s="148">
        <f>AVERAGE('METCM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67.945771857142873</v>
      </c>
      <c r="L58" s="149">
        <f>AVERAGE('METCM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22.554330714285719</v>
      </c>
      <c r="M58" s="148">
        <f>AVERAGE('METCM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69.003674785714296</v>
      </c>
      <c r="N58" s="150">
        <f>AVERAGE('METCM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22.644267499999994</v>
      </c>
    </row>
    <row r="59" spans="1:16">
      <c r="A59" s="62"/>
      <c r="B59" s="196"/>
      <c r="C59" s="196"/>
      <c r="D59" s="199"/>
      <c r="E59" s="199"/>
      <c r="F59" s="200"/>
      <c r="G59" s="196"/>
      <c r="H59" s="123" t="s">
        <v>219</v>
      </c>
      <c r="I59" s="148">
        <f>_xlfn.STDEV.S('METCM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10.28485830936798</v>
      </c>
      <c r="J59" s="149">
        <f>_xlfn.STDEV.S('METCM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1.79499357460399</v>
      </c>
      <c r="K59" s="148">
        <f>_xlfn.STDEV.S('METCM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10.279058271831296</v>
      </c>
      <c r="L59" s="149">
        <f>_xlfn.STDEV.S('METCM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1.8177208337131938</v>
      </c>
      <c r="M59" s="148">
        <f>_xlfn.STDEV.S('METCM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10.26177993573574</v>
      </c>
      <c r="N59" s="150">
        <f>_xlfn.STDEV.S('METCM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1.906648824813548</v>
      </c>
    </row>
    <row r="60" spans="1:16">
      <c r="A60" s="62"/>
      <c r="B60" s="196"/>
      <c r="C60" s="196"/>
      <c r="D60" s="199"/>
      <c r="E60" s="199"/>
      <c r="F60" s="200"/>
      <c r="G60" s="196"/>
      <c r="H60" s="123" t="s">
        <v>220</v>
      </c>
      <c r="I60" s="151">
        <f>MEDIAN('METCM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</f>
        <v>63.4361885</v>
      </c>
      <c r="J60" s="152">
        <f>MEDIAN('METCM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</f>
        <v>21.845205</v>
      </c>
      <c r="K60" s="151">
        <f>MEDIAN('METCM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</f>
        <v>63.719558999999997</v>
      </c>
      <c r="L60" s="152">
        <f>MEDIAN('METCM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</f>
        <v>21.860970999999999</v>
      </c>
      <c r="M60" s="151">
        <f>MEDIAN('METCM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</f>
        <v>64.834141000000002</v>
      </c>
      <c r="N60" s="153">
        <f>MEDIAN('METCM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</f>
        <v>21.922846499999999</v>
      </c>
    </row>
    <row r="61" spans="1:16">
      <c r="A61" s="62"/>
      <c r="B61" s="196"/>
      <c r="C61" s="196"/>
      <c r="D61" s="200"/>
      <c r="E61" s="199"/>
      <c r="F61" s="200"/>
      <c r="G61" s="196"/>
      <c r="H61" s="123" t="s">
        <v>221</v>
      </c>
      <c r="I61" s="154">
        <f ca="1">_xlfn.QUARTILE.INC(('METCM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(Meteomatics)'!J120),1)</f>
        <v>59.839773999999998</v>
      </c>
      <c r="J61" s="155">
        <f ca="1">_xlfn.QUARTILE.INC(('METCM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(Meteomatics)'!K120),1)</f>
        <v>21.469352750000002</v>
      </c>
      <c r="K61" s="154">
        <f ca="1">_xlfn.QUARTILE.INC(('METCM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(Meteomatics)'!J121),1)</f>
        <v>60.092148999999999</v>
      </c>
      <c r="L61" s="155">
        <f ca="1">_xlfn.QUARTILE.INC(('METCM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(Meteomatics)'!K121),1)</f>
        <v>21.482902500000002</v>
      </c>
      <c r="M61" s="154">
        <f ca="1">_xlfn.QUARTILE.INC(('METCM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(Meteomatics)'!J122),1)</f>
        <v>61.087968500000002</v>
      </c>
      <c r="N61" s="156">
        <f ca="1">_xlfn.QUARTILE.INC(('METCM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(Meteomatics)'!K122),1)</f>
        <v>21.535864</v>
      </c>
      <c r="P61" s="82"/>
    </row>
    <row r="62" spans="1:16">
      <c r="A62" s="62"/>
      <c r="B62" s="196"/>
      <c r="C62" s="196"/>
      <c r="D62" s="200"/>
      <c r="E62" s="199"/>
      <c r="F62" s="200"/>
      <c r="G62" s="196"/>
      <c r="H62" s="123" t="s">
        <v>222</v>
      </c>
      <c r="I62" s="154">
        <f ca="1">_xlfn.QUARTILE.INC(('METCM (Meteomatics)'!J3,'METCM (Meteomatics)'!J12,'METCM (Meteomatics)'!J21,'METCM (Meteomatics)'!J30,'METCM (Meteomatics)'!J39,'METCM (Meteomatics)'!J48,'METCM (Meteomatics)'!J57,'METCM (Meteomatics)'!J66,'METCM (Meteomatics)'!J75,'METCM (Meteomatics)'!J84,'METCM (Meteomatics)'!J93,'METCM (Meteomatics)'!J102,'METCM (Meteomatics)'!J111,'METCM (Meteomatics)'!J120),3)</f>
        <v>73.863378250000011</v>
      </c>
      <c r="J62" s="155">
        <f ca="1">_xlfn.QUARTILE.INC(('METCM (Meteomatics)'!K3,'METCM (Meteomatics)'!K12,'METCM (Meteomatics)'!K21,'METCM (Meteomatics)'!K30,'METCM (Meteomatics)'!K39,'METCM (Meteomatics)'!K48,'METCM (Meteomatics)'!K57,'METCM (Meteomatics)'!K66,'METCM (Meteomatics)'!K75,'METCM (Meteomatics)'!K84,'METCM (Meteomatics)'!K93,'METCM (Meteomatics)'!K102,'METCM (Meteomatics)'!K111,'METCM (Meteomatics)'!K120),3)</f>
        <v>23.410630250000001</v>
      </c>
      <c r="K62" s="154">
        <f ca="1">_xlfn.QUARTILE.INC(('METCM (Meteomatics)'!J4,'METCM (Meteomatics)'!J13,'METCM (Meteomatics)'!J22,'METCM (Meteomatics)'!J31,'METCM (Meteomatics)'!J40,'METCM (Meteomatics)'!J49,'METCM (Meteomatics)'!J58,'METCM (Meteomatics)'!J67,'METCM (Meteomatics)'!J76,'METCM (Meteomatics)'!J85,'METCM (Meteomatics)'!J94,'METCM (Meteomatics)'!J103,'METCM (Meteomatics)'!J112,'METCM (Meteomatics)'!J121),3)</f>
        <v>74.073916749999995</v>
      </c>
      <c r="L62" s="155">
        <f ca="1">_xlfn.QUARTILE.INC(('METCM (Meteomatics)'!K4,'METCM (Meteomatics)'!K13,'METCM (Meteomatics)'!K22,'METCM (Meteomatics)'!K31,'METCM (Meteomatics)'!K40,'METCM (Meteomatics)'!K49,'METCM (Meteomatics)'!K58,'METCM (Meteomatics)'!K67,'METCM (Meteomatics)'!K76,'METCM (Meteomatics)'!K85,'METCM (Meteomatics)'!K94,'METCM (Meteomatics)'!K103,'METCM (Meteomatics)'!K112,'METCM (Meteomatics)'!K121),3)</f>
        <v>23.45017125</v>
      </c>
      <c r="M62" s="154">
        <f ca="1">_xlfn.QUARTILE.INC(('METCM (Meteomatics)'!J5,'METCM (Meteomatics)'!J14,'METCM (Meteomatics)'!J23,'METCM (Meteomatics)'!J32,'METCM (Meteomatics)'!J41,'METCM (Meteomatics)'!J50,'METCM (Meteomatics)'!J59,'METCM (Meteomatics)'!J68,'METCM (Meteomatics)'!J77,'METCM (Meteomatics)'!J86,'METCM (Meteomatics)'!J95,'METCM (Meteomatics)'!J104,'METCM (Meteomatics)'!J113,'METCM (Meteomatics)'!J122),3)</f>
        <v>74.906358749999995</v>
      </c>
      <c r="N62" s="156">
        <f ca="1">_xlfn.QUARTILE.INC(('METCM (Meteomatics)'!K5,'METCM (Meteomatics)'!K14,'METCM (Meteomatics)'!K23,'METCM (Meteomatics)'!K32,'METCM (Meteomatics)'!K41,'METCM (Meteomatics)'!K50,'METCM (Meteomatics)'!K59,'METCM (Meteomatics)'!K68,'METCM (Meteomatics)'!K77,'METCM (Meteomatics)'!K86,'METCM (Meteomatics)'!K95,'METCM (Meteomatics)'!K104,'METCM (Meteomatics)'!K113,'METCM (Meteomatics)'!K122),3)</f>
        <v>23.604777499999997</v>
      </c>
    </row>
    <row r="63" spans="1:16">
      <c r="A63" s="62"/>
      <c r="B63" s="196"/>
      <c r="C63" s="196"/>
      <c r="D63" s="200"/>
      <c r="E63" s="199"/>
      <c r="F63" s="200"/>
      <c r="G63" s="196">
        <v>3000</v>
      </c>
      <c r="H63" s="123" t="s">
        <v>224</v>
      </c>
      <c r="I63" s="151">
        <f ca="1">I62-I61</f>
        <v>14.023604250000012</v>
      </c>
      <c r="J63" s="152">
        <f ca="1">J62-J61</f>
        <v>1.9412774999999982</v>
      </c>
      <c r="K63" s="151">
        <f t="shared" ref="K63:N63" ca="1" si="18">K62-K61</f>
        <v>13.981767749999996</v>
      </c>
      <c r="L63" s="152">
        <f t="shared" ca="1" si="18"/>
        <v>1.9672687499999988</v>
      </c>
      <c r="M63" s="151">
        <f t="shared" ca="1" si="18"/>
        <v>13.818390249999993</v>
      </c>
      <c r="N63" s="153">
        <f t="shared" ca="1" si="18"/>
        <v>2.0689134999999972</v>
      </c>
    </row>
    <row r="64" spans="1:16">
      <c r="A64" s="62"/>
      <c r="B64" s="196"/>
      <c r="C64" s="196"/>
      <c r="D64" s="200"/>
      <c r="E64" s="199"/>
      <c r="F64" s="200"/>
      <c r="G64" s="196"/>
      <c r="H64" s="123" t="s">
        <v>225</v>
      </c>
      <c r="I64" s="151">
        <f>I58-_xlfn.CONFIDENCE.T(0.05,I59,I57)</f>
        <v>61.738692607703307</v>
      </c>
      <c r="J64" s="152">
        <f>J58-_xlfn.CONFIDENCE.T(0.05,J59,J57)</f>
        <v>21.49494063718549</v>
      </c>
      <c r="K64" s="151">
        <f t="shared" ref="K64:N64" si="19">K58-_xlfn.CONFIDENCE.T(0.05,K59,K57)</f>
        <v>62.010820306817891</v>
      </c>
      <c r="L64" s="152">
        <f t="shared" si="19"/>
        <v>21.504809951311955</v>
      </c>
      <c r="M64" s="151">
        <f t="shared" si="19"/>
        <v>63.078699449638272</v>
      </c>
      <c r="N64" s="153">
        <f t="shared" si="19"/>
        <v>21.543401243626835</v>
      </c>
    </row>
    <row r="65" spans="1:14">
      <c r="A65" s="62"/>
      <c r="B65" s="196"/>
      <c r="C65" s="196"/>
      <c r="D65" s="200"/>
      <c r="E65" s="199"/>
      <c r="F65" s="200"/>
      <c r="G65" s="196"/>
      <c r="H65" s="123" t="s">
        <v>226</v>
      </c>
      <c r="I65" s="151">
        <f>I58+_xlfn.CONFIDENCE.T(0.05,I59,I57)</f>
        <v>73.615293392296678</v>
      </c>
      <c r="J65" s="152">
        <f>J58+_xlfn.CONFIDENCE.T(0.05,J59,J57)</f>
        <v>23.567737505671648</v>
      </c>
      <c r="K65" s="151">
        <f t="shared" ref="K65:N65" si="20">K58+_xlfn.CONFIDENCE.T(0.05,K59,K57)</f>
        <v>73.880723407467855</v>
      </c>
      <c r="L65" s="152">
        <f t="shared" si="20"/>
        <v>23.603851477259482</v>
      </c>
      <c r="M65" s="151">
        <f t="shared" si="20"/>
        <v>74.928650121790312</v>
      </c>
      <c r="N65" s="153">
        <f t="shared" si="20"/>
        <v>23.745133756373153</v>
      </c>
    </row>
    <row r="66" spans="1:14">
      <c r="A66" s="63"/>
      <c r="B66" s="196"/>
      <c r="C66" s="196"/>
      <c r="D66" s="200"/>
      <c r="E66" s="204" t="s">
        <v>42</v>
      </c>
      <c r="F66" s="200"/>
      <c r="G66" s="196"/>
      <c r="H66" s="123" t="s">
        <v>217</v>
      </c>
      <c r="I66" s="111">
        <f>COUNT('METCM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14</v>
      </c>
      <c r="J66" s="132">
        <f>COUNT('METCM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14</v>
      </c>
      <c r="K66" s="111">
        <f>COUNT('METCM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14</v>
      </c>
      <c r="L66" s="132">
        <f>COUNT('METCM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14</v>
      </c>
      <c r="M66" s="111">
        <f>COUNT('METCM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14</v>
      </c>
      <c r="N66" s="88">
        <f>COUNT('METCM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14</v>
      </c>
    </row>
    <row r="67" spans="1:14">
      <c r="A67" s="63"/>
      <c r="B67" s="196"/>
      <c r="C67" s="196"/>
      <c r="D67" s="200"/>
      <c r="E67" s="204"/>
      <c r="F67" s="200"/>
      <c r="G67" s="196"/>
      <c r="H67" s="123" t="s">
        <v>218</v>
      </c>
      <c r="I67" s="157">
        <f>AVERAGE('METCM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203.80179528571426</v>
      </c>
      <c r="J67" s="158">
        <f>AVERAGE('METCM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38.665854357142848</v>
      </c>
      <c r="K67" s="157">
        <f>AVERAGE('METCM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196.20519057142857</v>
      </c>
      <c r="L67" s="158">
        <f>AVERAGE('METCM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38.435607785714289</v>
      </c>
      <c r="M67" s="157">
        <f>AVERAGE('METCM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204.66874785714285</v>
      </c>
      <c r="N67" s="159">
        <f>AVERAGE('METCM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39.005837928571431</v>
      </c>
    </row>
    <row r="68" spans="1:14">
      <c r="A68" s="63"/>
      <c r="B68" s="196"/>
      <c r="C68" s="196"/>
      <c r="D68" s="200"/>
      <c r="E68" s="204"/>
      <c r="F68" s="200"/>
      <c r="G68" s="196"/>
      <c r="H68" s="123" t="s">
        <v>219</v>
      </c>
      <c r="I68" s="157">
        <f>_xlfn.STDEV.S('METCM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76.048229913883134</v>
      </c>
      <c r="J68" s="158">
        <f>_xlfn.STDEV.S('METCM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9.0434648305509544</v>
      </c>
      <c r="K68" s="157">
        <f>_xlfn.STDEV.S('METCM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85.668968649306237</v>
      </c>
      <c r="L68" s="158">
        <f>_xlfn.STDEV.S('METCM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9.4958093674252009</v>
      </c>
      <c r="M68" s="157">
        <f>_xlfn.STDEV.S('METCM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81.354312985968917</v>
      </c>
      <c r="N68" s="159">
        <f>_xlfn.STDEV.S('METCM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9.7698294456245947</v>
      </c>
    </row>
    <row r="69" spans="1:14">
      <c r="A69" s="63"/>
      <c r="B69" s="196"/>
      <c r="C69" s="196"/>
      <c r="D69" s="200"/>
      <c r="E69" s="204"/>
      <c r="F69" s="200"/>
      <c r="G69" s="196"/>
      <c r="H69" s="123" t="s">
        <v>220</v>
      </c>
      <c r="I69" s="160">
        <f>MEDIAN('METCM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</f>
        <v>183.890827</v>
      </c>
      <c r="J69" s="161">
        <f>MEDIAN('METCM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</f>
        <v>34.339541500000003</v>
      </c>
      <c r="K69" s="160">
        <f>MEDIAN('METCM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</f>
        <v>184.23222949999999</v>
      </c>
      <c r="L69" s="161">
        <f>MEDIAN('METCM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</f>
        <v>34.399206500000005</v>
      </c>
      <c r="M69" s="160">
        <f>MEDIAN('METCM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</f>
        <v>191.73579699999999</v>
      </c>
      <c r="N69" s="162">
        <f>MEDIAN('METCM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</f>
        <v>34.632793000000007</v>
      </c>
    </row>
    <row r="70" spans="1:14">
      <c r="A70" s="63"/>
      <c r="B70" s="196"/>
      <c r="C70" s="196"/>
      <c r="D70" s="200"/>
      <c r="E70" s="204"/>
      <c r="F70" s="200"/>
      <c r="G70" s="196"/>
      <c r="H70" s="123" t="s">
        <v>221</v>
      </c>
      <c r="I70" s="160">
        <f ca="1">_xlfn.QUARTILE.INC(('METCM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(Meteomatics)'!J123),1)</f>
        <v>176.269237</v>
      </c>
      <c r="J70" s="161">
        <f ca="1">_xlfn.QUARTILE.INC(('METCM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(Meteomatics)'!K123),1)</f>
        <v>31.944792749999998</v>
      </c>
      <c r="K70" s="160">
        <f ca="1">_xlfn.QUARTILE.INC(('METCM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(Meteomatics)'!J124),1)</f>
        <v>177.31298624999999</v>
      </c>
      <c r="L70" s="161">
        <f ca="1">_xlfn.QUARTILE.INC(('METCM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(Meteomatics)'!K124),1)</f>
        <v>31.759918750000001</v>
      </c>
      <c r="M70" s="160">
        <f ca="1">_xlfn.QUARTILE.INC(('METCM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(Meteomatics)'!J125),1)</f>
        <v>184.53058075000001</v>
      </c>
      <c r="N70" s="162">
        <f ca="1">_xlfn.QUARTILE.INC(('METCM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(Meteomatics)'!K125),1)</f>
        <v>31.922079</v>
      </c>
    </row>
    <row r="71" spans="1:14">
      <c r="A71" s="63"/>
      <c r="B71" s="196"/>
      <c r="C71" s="196"/>
      <c r="D71" s="200"/>
      <c r="E71" s="204"/>
      <c r="F71" s="200"/>
      <c r="G71" s="196"/>
      <c r="H71" s="123" t="s">
        <v>222</v>
      </c>
      <c r="I71" s="160">
        <f ca="1">_xlfn.QUARTILE.INC(('METCM (Meteomatics)'!J6,'METCM (Meteomatics)'!J15,'METCM (Meteomatics)'!J24,'METCM (Meteomatics)'!J33,'METCM (Meteomatics)'!J42,'METCM (Meteomatics)'!J51,'METCM (Meteomatics)'!J60,'METCM (Meteomatics)'!J69,'METCM (Meteomatics)'!J78,'METCM (Meteomatics)'!J87,'METCM (Meteomatics)'!J96,'METCM (Meteomatics)'!J105,'METCM (Meteomatics)'!J114,'METCM (Meteomatics)'!J123),3)</f>
        <v>194.2272395</v>
      </c>
      <c r="J71" s="161">
        <f ca="1">_xlfn.QUARTILE.INC(('METCM (Meteomatics)'!K6,'METCM (Meteomatics)'!K15,'METCM (Meteomatics)'!K24,'METCM (Meteomatics)'!K33,'METCM (Meteomatics)'!K42,'METCM (Meteomatics)'!K51,'METCM (Meteomatics)'!K60,'METCM (Meteomatics)'!K69,'METCM (Meteomatics)'!K78,'METCM (Meteomatics)'!K87,'METCM (Meteomatics)'!K96,'METCM (Meteomatics)'!K105,'METCM (Meteomatics)'!K114,'METCM (Meteomatics)'!K123),3)</f>
        <v>45.285231500000002</v>
      </c>
      <c r="K71" s="160">
        <f ca="1">_xlfn.QUARTILE.INC(('METCM (Meteomatics)'!J7,'METCM (Meteomatics)'!J16,'METCM (Meteomatics)'!J25,'METCM (Meteomatics)'!J34,'METCM (Meteomatics)'!J43,'METCM (Meteomatics)'!J52,'METCM (Meteomatics)'!J61,'METCM (Meteomatics)'!J70,'METCM (Meteomatics)'!J79,'METCM (Meteomatics)'!J88,'METCM (Meteomatics)'!J97,'METCM (Meteomatics)'!J106,'METCM (Meteomatics)'!J115,'METCM (Meteomatics)'!J124),3)</f>
        <v>196.16619025</v>
      </c>
      <c r="L71" s="161">
        <f ca="1">_xlfn.QUARTILE.INC(('METCM (Meteomatics)'!K7,'METCM (Meteomatics)'!K16,'METCM (Meteomatics)'!K25,'METCM (Meteomatics)'!K34,'METCM (Meteomatics)'!K43,'METCM (Meteomatics)'!K52,'METCM (Meteomatics)'!K61,'METCM (Meteomatics)'!K70,'METCM (Meteomatics)'!K79,'METCM (Meteomatics)'!K88,'METCM (Meteomatics)'!K97,'METCM (Meteomatics)'!K106,'METCM (Meteomatics)'!K115,'METCM (Meteomatics)'!K124),3)</f>
        <v>45.475064500000002</v>
      </c>
      <c r="M71" s="160">
        <f ca="1">_xlfn.QUARTILE.INC(('METCM (Meteomatics)'!J8,'METCM (Meteomatics)'!J17,'METCM (Meteomatics)'!J26,'METCM (Meteomatics)'!J35,'METCM (Meteomatics)'!J44,'METCM (Meteomatics)'!J53,'METCM (Meteomatics)'!J62,'METCM (Meteomatics)'!J71,'METCM (Meteomatics)'!J80,'METCM (Meteomatics)'!J89,'METCM (Meteomatics)'!J98,'METCM (Meteomatics)'!J107,'METCM (Meteomatics)'!J116,'METCM (Meteomatics)'!J125),3)</f>
        <v>203.71749274999999</v>
      </c>
      <c r="N71" s="162">
        <f ca="1">_xlfn.QUARTILE.INC(('METCM (Meteomatics)'!K8,'METCM (Meteomatics)'!K17,'METCM (Meteomatics)'!K26,'METCM (Meteomatics)'!K35,'METCM (Meteomatics)'!K44,'METCM (Meteomatics)'!K53,'METCM (Meteomatics)'!K62,'METCM (Meteomatics)'!K71,'METCM (Meteomatics)'!K80,'METCM (Meteomatics)'!K89,'METCM (Meteomatics)'!K98,'METCM (Meteomatics)'!K107,'METCM (Meteomatics)'!K116,'METCM (Meteomatics)'!K125),3)</f>
        <v>46.030259000000001</v>
      </c>
    </row>
    <row r="72" spans="1:14">
      <c r="A72" s="63"/>
      <c r="B72" s="196"/>
      <c r="C72" s="196"/>
      <c r="D72" s="200"/>
      <c r="E72" s="204"/>
      <c r="F72" s="200"/>
      <c r="G72" s="196"/>
      <c r="H72" s="123" t="s">
        <v>224</v>
      </c>
      <c r="I72" s="160">
        <f ca="1">I71-I70</f>
        <v>17.958002499999992</v>
      </c>
      <c r="J72" s="161">
        <f ca="1">J71-J70</f>
        <v>13.340438750000004</v>
      </c>
      <c r="K72" s="160">
        <f t="shared" ref="K72:N72" ca="1" si="21">K71-K70</f>
        <v>18.853204000000005</v>
      </c>
      <c r="L72" s="161">
        <f t="shared" ca="1" si="21"/>
        <v>13.715145750000001</v>
      </c>
      <c r="M72" s="160">
        <f t="shared" ca="1" si="21"/>
        <v>19.186911999999978</v>
      </c>
      <c r="N72" s="162">
        <f t="shared" ca="1" si="21"/>
        <v>14.108180000000001</v>
      </c>
    </row>
    <row r="73" spans="1:14">
      <c r="A73" s="63"/>
      <c r="B73" s="196"/>
      <c r="C73" s="196"/>
      <c r="D73" s="200"/>
      <c r="E73" s="204"/>
      <c r="F73" s="200"/>
      <c r="G73" s="196"/>
      <c r="H73" s="123" t="s">
        <v>225</v>
      </c>
      <c r="I73" s="160">
        <f>I67-_xlfn.CONFIDENCE.T(0.05,I68,I66)</f>
        <v>159.89285459377078</v>
      </c>
      <c r="J73" s="161">
        <f>J67-_xlfn.CONFIDENCE.T(0.05,J68,J66)</f>
        <v>33.444313220103872</v>
      </c>
      <c r="K73" s="160">
        <f t="shared" ref="K73:N73" si="22">K67-_xlfn.CONFIDENCE.T(0.05,K68,K66)</f>
        <v>146.74140071304501</v>
      </c>
      <c r="L73" s="161">
        <f t="shared" si="22"/>
        <v>32.952890688834728</v>
      </c>
      <c r="M73" s="160">
        <f t="shared" si="22"/>
        <v>157.69616601033525</v>
      </c>
      <c r="N73" s="162">
        <f t="shared" si="22"/>
        <v>33.364906348913195</v>
      </c>
    </row>
    <row r="74" spans="1:14">
      <c r="A74" s="63"/>
      <c r="B74" s="196"/>
      <c r="C74" s="196"/>
      <c r="D74" s="200"/>
      <c r="E74" s="204"/>
      <c r="F74" s="200"/>
      <c r="G74" s="196"/>
      <c r="H74" s="123" t="s">
        <v>226</v>
      </c>
      <c r="I74" s="160">
        <f>I67+_xlfn.CONFIDENCE.T(0.05,I68,I66)</f>
        <v>247.71073597765775</v>
      </c>
      <c r="J74" s="161">
        <f>J67+_xlfn.CONFIDENCE.T(0.05,J68,J66)</f>
        <v>43.887395494181824</v>
      </c>
      <c r="K74" s="160">
        <f t="shared" ref="K74:N74" si="23">K67+_xlfn.CONFIDENCE.T(0.05,K68,K66)</f>
        <v>245.66898042981214</v>
      </c>
      <c r="L74" s="161">
        <f t="shared" si="23"/>
        <v>43.918324882593851</v>
      </c>
      <c r="M74" s="160">
        <f t="shared" si="23"/>
        <v>251.64132970395045</v>
      </c>
      <c r="N74" s="162">
        <f t="shared" si="23"/>
        <v>44.646769508229667</v>
      </c>
    </row>
    <row r="75" spans="1:14">
      <c r="A75" s="46"/>
      <c r="B75" s="196"/>
      <c r="C75" s="196"/>
      <c r="D75" s="200"/>
      <c r="E75" s="206" t="s">
        <v>47</v>
      </c>
      <c r="F75" s="200"/>
      <c r="G75" s="196"/>
      <c r="H75" s="123" t="s">
        <v>217</v>
      </c>
      <c r="I75" s="97">
        <f>COUNT('METCM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14</v>
      </c>
      <c r="J75" s="135">
        <f>COUNT('METCM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14</v>
      </c>
      <c r="K75" s="97">
        <f>COUNT('METCM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14</v>
      </c>
      <c r="L75" s="135">
        <f>COUNT('METCM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14</v>
      </c>
      <c r="M75" s="97">
        <f>COUNT('METCM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14</v>
      </c>
      <c r="N75" s="90">
        <f>COUNT('METCM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14</v>
      </c>
    </row>
    <row r="76" spans="1:14">
      <c r="A76" s="46"/>
      <c r="B76" s="196"/>
      <c r="C76" s="196"/>
      <c r="D76" s="200"/>
      <c r="E76" s="206"/>
      <c r="F76" s="200"/>
      <c r="G76" s="196"/>
      <c r="H76" s="123" t="s">
        <v>218</v>
      </c>
      <c r="I76" s="169">
        <f>AVERAGE('METCM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374.30245471428572</v>
      </c>
      <c r="J76" s="170">
        <f>AVERAGE('METCM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48.458941642857148</v>
      </c>
      <c r="K76" s="169">
        <f>AVERAGE('METCM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358.74973678571433</v>
      </c>
      <c r="L76" s="170">
        <f>AVERAGE('METCM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48.287472785714293</v>
      </c>
      <c r="M76" s="169">
        <f>AVERAGE('METCM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375.81424678571432</v>
      </c>
      <c r="N76" s="171">
        <f>AVERAGE('METCM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48.866596714285713</v>
      </c>
    </row>
    <row r="77" spans="1:14">
      <c r="A77" s="46"/>
      <c r="B77" s="196"/>
      <c r="C77" s="196"/>
      <c r="D77" s="200"/>
      <c r="E77" s="206"/>
      <c r="F77" s="200"/>
      <c r="G77" s="196"/>
      <c r="H77" s="123" t="s">
        <v>219</v>
      </c>
      <c r="I77" s="169">
        <f>_xlfn.STDEV.S('METCM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150.03297730674541</v>
      </c>
      <c r="J77" s="170">
        <f>_xlfn.STDEV.S('METCM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9.714382979748331</v>
      </c>
      <c r="K77" s="169">
        <f>_xlfn.STDEV.S('METCM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169.03382674408564</v>
      </c>
      <c r="L77" s="170">
        <f>_xlfn.STDEV.S('METCM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10.151921611593593</v>
      </c>
      <c r="M77" s="169">
        <f>_xlfn.STDEV.S('METCM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159.40977778470284</v>
      </c>
      <c r="N77" s="171">
        <f>_xlfn.STDEV.S('METCM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10.544347185276905</v>
      </c>
    </row>
    <row r="78" spans="1:14">
      <c r="A78" s="46"/>
      <c r="B78" s="196"/>
      <c r="C78" s="196"/>
      <c r="D78" s="200"/>
      <c r="E78" s="206"/>
      <c r="F78" s="200"/>
      <c r="G78" s="196"/>
      <c r="H78" s="123" t="s">
        <v>220</v>
      </c>
      <c r="I78" s="172">
        <f>MEDIAN('METCM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</f>
        <v>332.01292949999998</v>
      </c>
      <c r="J78" s="173">
        <f>MEDIAN('METCM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</f>
        <v>44.093701500000002</v>
      </c>
      <c r="K78" s="172">
        <f>MEDIAN('METCM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</f>
        <v>333.72066050000001</v>
      </c>
      <c r="L78" s="173">
        <f>MEDIAN('METCM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</f>
        <v>44.164168000000004</v>
      </c>
      <c r="M78" s="172">
        <f>MEDIAN('METCM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</f>
        <v>347.81802099999999</v>
      </c>
      <c r="N78" s="174">
        <f>MEDIAN('METCM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</f>
        <v>44.439390500000002</v>
      </c>
    </row>
    <row r="79" spans="1:14">
      <c r="A79" s="46"/>
      <c r="B79" s="196"/>
      <c r="C79" s="196"/>
      <c r="D79" s="200"/>
      <c r="E79" s="206"/>
      <c r="F79" s="200"/>
      <c r="G79" s="196"/>
      <c r="H79" s="123" t="s">
        <v>221</v>
      </c>
      <c r="I79" s="172">
        <f ca="1">_xlfn.QUARTILE.INC(('METCM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(Meteomatics)'!J126),1)</f>
        <v>326.71574500000003</v>
      </c>
      <c r="J79" s="173">
        <f ca="1">_xlfn.QUARTILE.INC(('METCM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(Meteomatics)'!K126),1)</f>
        <v>41.229897749999999</v>
      </c>
      <c r="K79" s="172">
        <f ca="1">_xlfn.QUARTILE.INC(('METCM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(Meteomatics)'!J127),1)</f>
        <v>327.6756335</v>
      </c>
      <c r="L79" s="173">
        <f ca="1">_xlfn.QUARTILE.INC(('METCM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(Meteomatics)'!K127),1)</f>
        <v>41.0313205</v>
      </c>
      <c r="M79" s="172">
        <f ca="1">_xlfn.QUARTILE.INC(('METCM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(Meteomatics)'!J128),1)</f>
        <v>342.17379949999997</v>
      </c>
      <c r="N79" s="174">
        <f ca="1">_xlfn.QUARTILE.INC(('METCM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(Meteomatics)'!K128),1)</f>
        <v>41.237910999999997</v>
      </c>
    </row>
    <row r="80" spans="1:14">
      <c r="A80" s="46"/>
      <c r="B80" s="196"/>
      <c r="C80" s="196"/>
      <c r="D80" s="200"/>
      <c r="E80" s="206"/>
      <c r="F80" s="200"/>
      <c r="G80" s="196"/>
      <c r="H80" s="123" t="s">
        <v>222</v>
      </c>
      <c r="I80" s="172">
        <f ca="1">_xlfn.QUARTILE.INC(('METCM (Meteomatics)'!J9,'METCM (Meteomatics)'!J18,'METCM (Meteomatics)'!J27,'METCM (Meteomatics)'!J36,'METCM (Meteomatics)'!J45,'METCM (Meteomatics)'!J54,'METCM (Meteomatics)'!J63,'METCM (Meteomatics)'!J72,'METCM (Meteomatics)'!J81,'METCM (Meteomatics)'!J90,'METCM (Meteomatics)'!J99,'METCM (Meteomatics)'!J108,'METCM (Meteomatics)'!J117,'METCM (Meteomatics)'!J126),3)</f>
        <v>341.24298950000002</v>
      </c>
      <c r="J80" s="173">
        <f ca="1">_xlfn.QUARTILE.INC(('METCM (Meteomatics)'!K9,'METCM (Meteomatics)'!K18,'METCM (Meteomatics)'!K27,'METCM (Meteomatics)'!K36,'METCM (Meteomatics)'!K45,'METCM (Meteomatics)'!K54,'METCM (Meteomatics)'!K63,'METCM (Meteomatics)'!K72,'METCM (Meteomatics)'!K81,'METCM (Meteomatics)'!K90,'METCM (Meteomatics)'!K99,'METCM (Meteomatics)'!K108,'METCM (Meteomatics)'!K117,'METCM (Meteomatics)'!K126),3)</f>
        <v>56.030663750000002</v>
      </c>
      <c r="K80" s="172">
        <f ca="1">_xlfn.QUARTILE.INC(('METCM (Meteomatics)'!J10,'METCM (Meteomatics)'!J19,'METCM (Meteomatics)'!J28,'METCM (Meteomatics)'!J37,'METCM (Meteomatics)'!J46,'METCM (Meteomatics)'!J55,'METCM (Meteomatics)'!J64,'METCM (Meteomatics)'!J73,'METCM (Meteomatics)'!J82,'METCM (Meteomatics)'!J91,'METCM (Meteomatics)'!J100,'METCM (Meteomatics)'!J109,'METCM (Meteomatics)'!J118,'METCM (Meteomatics)'!J127),3)</f>
        <v>339.44030075000001</v>
      </c>
      <c r="L80" s="173">
        <f ca="1">_xlfn.QUARTILE.INC(('METCM (Meteomatics)'!K10,'METCM (Meteomatics)'!K19,'METCM (Meteomatics)'!K28,'METCM (Meteomatics)'!K37,'METCM (Meteomatics)'!K46,'METCM (Meteomatics)'!K55,'METCM (Meteomatics)'!K64,'METCM (Meteomatics)'!K73,'METCM (Meteomatics)'!K82,'METCM (Meteomatics)'!K91,'METCM (Meteomatics)'!K100,'METCM (Meteomatics)'!K109,'METCM (Meteomatics)'!K118,'METCM (Meteomatics)'!K127),3)</f>
        <v>56.278767500000001</v>
      </c>
      <c r="M80" s="172">
        <f ca="1">_xlfn.QUARTILE.INC(('METCM (Meteomatics)'!J11,'METCM (Meteomatics)'!J20,'METCM (Meteomatics)'!J29,'METCM (Meteomatics)'!J38,'METCM (Meteomatics)'!J47,'METCM (Meteomatics)'!J56,'METCM (Meteomatics)'!J65,'METCM (Meteomatics)'!J74,'METCM (Meteomatics)'!J83,'METCM (Meteomatics)'!J92,'METCM (Meteomatics)'!J101,'METCM (Meteomatics)'!J110,'METCM (Meteomatics)'!J119,'METCM (Meteomatics)'!J128),3)</f>
        <v>353.59008075000003</v>
      </c>
      <c r="N80" s="174">
        <f ca="1">_xlfn.QUARTILE.INC(('METCM (Meteomatics)'!K11,'METCM (Meteomatics)'!K20,'METCM (Meteomatics)'!K29,'METCM (Meteomatics)'!K38,'METCM (Meteomatics)'!K47,'METCM (Meteomatics)'!K56,'METCM (Meteomatics)'!K65,'METCM (Meteomatics)'!K74,'METCM (Meteomatics)'!K83,'METCM (Meteomatics)'!K92,'METCM (Meteomatics)'!K101,'METCM (Meteomatics)'!K110,'METCM (Meteomatics)'!K119,'METCM (Meteomatics)'!K128),3)</f>
        <v>57.24275325</v>
      </c>
    </row>
    <row r="81" spans="1:14">
      <c r="A81" s="46"/>
      <c r="B81" s="196"/>
      <c r="C81" s="196"/>
      <c r="D81" s="200"/>
      <c r="E81" s="206"/>
      <c r="F81" s="200"/>
      <c r="G81" s="196"/>
      <c r="H81" s="123" t="s">
        <v>224</v>
      </c>
      <c r="I81" s="172">
        <f ca="1">I80-I79</f>
        <v>14.527244499999995</v>
      </c>
      <c r="J81" s="173">
        <f ca="1">J80-J79</f>
        <v>14.800766000000003</v>
      </c>
      <c r="K81" s="172">
        <f t="shared" ref="K81:N81" ca="1" si="24">K80-K79</f>
        <v>11.764667250000002</v>
      </c>
      <c r="L81" s="173">
        <f t="shared" ca="1" si="24"/>
        <v>15.247447000000001</v>
      </c>
      <c r="M81" s="172">
        <f t="shared" ca="1" si="24"/>
        <v>11.416281250000054</v>
      </c>
      <c r="N81" s="174">
        <f t="shared" ca="1" si="24"/>
        <v>16.004842250000003</v>
      </c>
    </row>
    <row r="82" spans="1:14">
      <c r="A82" s="46"/>
      <c r="B82" s="196"/>
      <c r="C82" s="196"/>
      <c r="D82" s="200"/>
      <c r="E82" s="206"/>
      <c r="F82" s="200"/>
      <c r="G82" s="196"/>
      <c r="H82" s="123" t="s">
        <v>225</v>
      </c>
      <c r="I82" s="172">
        <f>I76-_xlfn.CONFIDENCE.T(0.05,I77,I75)</f>
        <v>287.67599266700881</v>
      </c>
      <c r="J82" s="173">
        <f>J76-_xlfn.CONFIDENCE.T(0.05,J77,J75)</f>
        <v>42.850023899477492</v>
      </c>
      <c r="K82" s="172">
        <f t="shared" ref="K82:N82" si="25">K76-_xlfn.CONFIDENCE.T(0.05,K77,K75)</f>
        <v>261.15251089573536</v>
      </c>
      <c r="L82" s="173">
        <f t="shared" si="25"/>
        <v>42.425927757545978</v>
      </c>
      <c r="M82" s="172">
        <f t="shared" si="25"/>
        <v>283.77378132858735</v>
      </c>
      <c r="N82" s="174">
        <f t="shared" si="25"/>
        <v>42.778471905623171</v>
      </c>
    </row>
    <row r="83" spans="1:14">
      <c r="A83" s="93"/>
      <c r="B83" s="203"/>
      <c r="C83" s="203"/>
      <c r="D83" s="205"/>
      <c r="E83" s="208"/>
      <c r="F83" s="205"/>
      <c r="G83" s="203"/>
      <c r="H83" s="142" t="s">
        <v>226</v>
      </c>
      <c r="I83" s="175">
        <f>I76+_xlfn.CONFIDENCE.T(0.05,I77,I75)</f>
        <v>460.92891676156262</v>
      </c>
      <c r="J83" s="176">
        <f>J76+_xlfn.CONFIDENCE.T(0.05,J77,J75)</f>
        <v>54.067859386236805</v>
      </c>
      <c r="K83" s="175">
        <f t="shared" ref="K83:N83" si="26">K76+_xlfn.CONFIDENCE.T(0.05,K77,K75)</f>
        <v>456.34696267569331</v>
      </c>
      <c r="L83" s="176">
        <f t="shared" si="26"/>
        <v>54.149017813882608</v>
      </c>
      <c r="M83" s="175">
        <f t="shared" si="26"/>
        <v>467.85471224284129</v>
      </c>
      <c r="N83" s="177">
        <f t="shared" si="26"/>
        <v>54.954721522948255</v>
      </c>
    </row>
    <row r="84" spans="1:14">
      <c r="A84" s="61"/>
      <c r="B84" s="195" t="s">
        <v>29</v>
      </c>
      <c r="C84" s="195" t="s">
        <v>11</v>
      </c>
      <c r="D84" s="198" t="s">
        <v>23</v>
      </c>
      <c r="E84" s="198" t="s">
        <v>40</v>
      </c>
      <c r="F84" s="202" t="s">
        <v>229</v>
      </c>
      <c r="G84" s="195">
        <v>15990</v>
      </c>
      <c r="H84" s="122" t="s">
        <v>217</v>
      </c>
      <c r="I84" s="107">
        <f>COUNT('METCM (from METGM)'!J3,'METCM (from METGM)'!J12,'METCM (from METGM)'!J21,'METCM (from METGM)'!J30,'METCM (from METGM)'!J39,'METCM (from METGM)'!J48)</f>
        <v>6</v>
      </c>
      <c r="J84" s="127">
        <f>COUNT('METCM (from METGM)'!K3,'METCM (from METGM)'!K12,'METCM (from METGM)'!K21,'METCM (from METGM)'!K30,'METCM (from METGM)'!K39,'METCM (from METGM)'!K48)</f>
        <v>6</v>
      </c>
      <c r="K84" s="107">
        <f>COUNT('METCM (from METGM)'!J4,'METCM (from METGM)'!J13,'METCM (from METGM)'!J22,'METCM (from METGM)'!J31,'METCM (from METGM)'!J40,'METCM (from METGM)'!J49)</f>
        <v>6</v>
      </c>
      <c r="L84" s="127">
        <f>COUNT('METCM (from METGM)'!K4,'METCM (from METGM)'!K13,'METCM (from METGM)'!K22,'METCM (from METGM)'!K31,'METCM (from METGM)'!K40,'METCM (from METGM)'!K49)</f>
        <v>6</v>
      </c>
      <c r="M84" s="107">
        <f>COUNT('METCM (from METGM)'!J5,'METCM (from METGM)'!J14,'METCM (from METGM)'!J23,'METCM (from METGM)'!J32,'METCM (from METGM)'!J41,'METCM (from METGM)'!J50)</f>
        <v>6</v>
      </c>
      <c r="N84" s="85">
        <f>COUNT('METCM (from METGM)'!K5,'METCM (from METGM)'!K14,'METCM (from METGM)'!K23,'METCM (from METGM)'!K32,'METCM (from METGM)'!K41,'METCM (from METGM)'!K50)</f>
        <v>6</v>
      </c>
    </row>
    <row r="85" spans="1:14">
      <c r="A85" s="62"/>
      <c r="B85" s="196"/>
      <c r="C85" s="196"/>
      <c r="D85" s="200"/>
      <c r="E85" s="199"/>
      <c r="F85" s="200"/>
      <c r="G85" s="196"/>
      <c r="H85" s="123" t="s">
        <v>218</v>
      </c>
      <c r="I85" s="148">
        <f>AVERAGE('METCM (from METGM)'!J3,'METCM (from METGM)'!J12,'METCM (from METGM)'!J21,'METCM (from METGM)'!J30,'METCM (from METGM)'!J39,'METCM (from METGM)'!J48)</f>
        <v>59.818831333333328</v>
      </c>
      <c r="J85" s="149">
        <f>AVERAGE('METCM (from METGM)'!K3,'METCM (from METGM)'!K12,'METCM (from METGM)'!K21,'METCM (from METGM)'!K30,'METCM (from METGM)'!K39,'METCM (from METGM)'!K48)</f>
        <v>21.365848</v>
      </c>
      <c r="K85" s="148">
        <f>AVERAGE('METCM (from METGM)'!J4,'METCM (from METGM)'!J13,'METCM (from METGM)'!J22,'METCM (from METGM)'!J31,'METCM (from METGM)'!J40,'METCM (from METGM)'!J49)</f>
        <v>59.702120999999998</v>
      </c>
      <c r="L85" s="149">
        <f>AVERAGE('METCM (from METGM)'!K4,'METCM (from METGM)'!K13,'METCM (from METGM)'!K22,'METCM (from METGM)'!K31,'METCM (from METGM)'!K40,'METCM (from METGM)'!K49)</f>
        <v>21.372688833333331</v>
      </c>
      <c r="M85" s="148">
        <f>AVERAGE('METCM (from METGM)'!J5,'METCM (from METGM)'!J14,'METCM (from METGM)'!J23,'METCM (from METGM)'!J32,'METCM (from METGM)'!J41,'METCM (from METGM)'!J50)</f>
        <v>56.697876333333333</v>
      </c>
      <c r="N85" s="150">
        <f>AVERAGE('METCM (from METGM)'!K5,'METCM (from METGM)'!K14,'METCM (from METGM)'!K23,'METCM (from METGM)'!K32,'METCM (from METGM)'!K41,'METCM (from METGM)'!K50)</f>
        <v>21.343947333333332</v>
      </c>
    </row>
    <row r="86" spans="1:14">
      <c r="A86" s="62"/>
      <c r="B86" s="196"/>
      <c r="C86" s="196"/>
      <c r="D86" s="200"/>
      <c r="E86" s="199"/>
      <c r="F86" s="200"/>
      <c r="G86" s="196"/>
      <c r="H86" s="123" t="s">
        <v>219</v>
      </c>
      <c r="I86" s="148">
        <f>_xlfn.STDEV.S('METCM (from METGM)'!J3,'METCM (from METGM)'!J12,'METCM (from METGM)'!J21,'METCM (from METGM)'!J30,'METCM (from METGM)'!J39,'METCM (from METGM)'!J48)</f>
        <v>1.5828603651182467</v>
      </c>
      <c r="J86" s="149">
        <f>_xlfn.STDEV.S('METCM (from METGM)'!K3,'METCM (from METGM)'!K12,'METCM (from METGM)'!K21,'METCM (from METGM)'!K30,'METCM (from METGM)'!K39,'METCM (from METGM)'!K48)</f>
        <v>0.51651672273528604</v>
      </c>
      <c r="K86" s="148">
        <f>_xlfn.STDEV.S('METCM (from METGM)'!J4,'METCM (from METGM)'!J13,'METCM (from METGM)'!J22,'METCM (from METGM)'!J31,'METCM (from METGM)'!J40,'METCM (from METGM)'!J49)</f>
        <v>1.7431824327199934</v>
      </c>
      <c r="L86" s="149">
        <f>_xlfn.STDEV.S('METCM (from METGM)'!K4,'METCM (from METGM)'!K13,'METCM (from METGM)'!K22,'METCM (from METGM)'!K31,'METCM (from METGM)'!K40,'METCM (from METGM)'!K49)</f>
        <v>0.5278387024629464</v>
      </c>
      <c r="M86" s="148">
        <f>_xlfn.STDEV.S('METCM (from METGM)'!J5,'METCM (from METGM)'!J14,'METCM (from METGM)'!J23,'METCM (from METGM)'!J32,'METCM (from METGM)'!J41,'METCM (from METGM)'!J50)</f>
        <v>7.2051191752075665</v>
      </c>
      <c r="N86" s="150">
        <f>_xlfn.STDEV.S('METCM (from METGM)'!K5,'METCM (from METGM)'!K14,'METCM (from METGM)'!K23,'METCM (from METGM)'!K32,'METCM (from METGM)'!K41,'METCM (from METGM)'!K50)</f>
        <v>0.62551344231972039</v>
      </c>
    </row>
    <row r="87" spans="1:14">
      <c r="A87" s="62"/>
      <c r="B87" s="196"/>
      <c r="C87" s="196"/>
      <c r="D87" s="200"/>
      <c r="E87" s="199"/>
      <c r="F87" s="200"/>
      <c r="G87" s="196"/>
      <c r="H87" s="123" t="s">
        <v>220</v>
      </c>
      <c r="I87" s="151">
        <f>MEDIAN('METCM (from METGM)'!J3,'METCM (from METGM)'!J12,'METCM (from METGM)'!J21,'METCM (from METGM)'!J30,'METCM (from METGM)'!J39,'METCM (from METGM)'!J48)</f>
        <v>59.829788999999998</v>
      </c>
      <c r="J87" s="152">
        <f>MEDIAN('METCM (from METGM)'!K3,'METCM (from METGM)'!K12,'METCM (from METGM)'!K21,'METCM (from METGM)'!K30,'METCM (from METGM)'!K39,'METCM (from METGM)'!K48)</f>
        <v>21.241151000000002</v>
      </c>
      <c r="K87" s="151">
        <f>MEDIAN('METCM (from METGM)'!J4,'METCM (from METGM)'!J13,'METCM (from METGM)'!J22,'METCM (from METGM)'!J31,'METCM (from METGM)'!J40,'METCM (from METGM)'!J49)</f>
        <v>59.379821499999998</v>
      </c>
      <c r="L87" s="152">
        <f>MEDIAN('METCM (from METGM)'!K4,'METCM (from METGM)'!K13,'METCM (from METGM)'!K22,'METCM (from METGM)'!K31,'METCM (from METGM)'!K40,'METCM (from METGM)'!K49)</f>
        <v>21.249029</v>
      </c>
      <c r="M87" s="151">
        <f>MEDIAN('METCM (from METGM)'!J5,'METCM (from METGM)'!J14,'METCM (from METGM)'!J23,'METCM (from METGM)'!J32,'METCM (from METGM)'!J41,'METCM (from METGM)'!J50)</f>
        <v>59.642212000000001</v>
      </c>
      <c r="N87" s="153">
        <f>MEDIAN('METCM (from METGM)'!K5,'METCM (from METGM)'!K14,'METCM (from METGM)'!K23,'METCM (from METGM)'!K32,'METCM (from METGM)'!K41,'METCM (from METGM)'!K50)</f>
        <v>21.210459</v>
      </c>
    </row>
    <row r="88" spans="1:14">
      <c r="A88" s="62"/>
      <c r="B88" s="196"/>
      <c r="C88" s="196"/>
      <c r="D88" s="200"/>
      <c r="E88" s="199"/>
      <c r="F88" s="200"/>
      <c r="G88" s="196"/>
      <c r="H88" s="123" t="s">
        <v>221</v>
      </c>
      <c r="I88" s="154">
        <f ca="1">_xlfn.QUARTILE.INC(('METCM (from METGM)'!J3,'METCM (from METGM)'!J12,'METCM (from METGM)'!J21,'METCM (from METGM)'!J30,'METCM (from METGM)'!J39,'METCM (from METGM)'!J48),1)</f>
        <v>58.980437999999999</v>
      </c>
      <c r="J88" s="155">
        <f ca="1">_xlfn.QUARTILE.INC(('METCM (from METGM)'!K3,'METCM (from METGM)'!K12,'METCM (from METGM)'!K21,'METCM (from METGM)'!K30,'METCM (from METGM)'!K39,'METCM (from METGM)'!K48),1)</f>
        <v>20.9436635</v>
      </c>
      <c r="K88" s="154">
        <f ca="1">_xlfn.QUARTILE.INC(('METCM (from METGM)'!J4,'METCM (from METGM)'!J13,'METCM (from METGM)'!J22,'METCM (from METGM)'!J31,'METCM (from METGM)'!J40,'METCM (from METGM)'!J49),1)</f>
        <v>58.448509000000001</v>
      </c>
      <c r="L88" s="155">
        <f ca="1">_xlfn.QUARTILE.INC(('METCM (from METGM)'!K4,'METCM (from METGM)'!K13,'METCM (from METGM)'!K22,'METCM (from METGM)'!K31,'METCM (from METGM)'!K40,'METCM (from METGM)'!K49),1)</f>
        <v>20.947173999999997</v>
      </c>
      <c r="M88" s="154">
        <f ca="1">_xlfn.QUARTILE.INC(('METCM (from METGM)'!J5,'METCM (from METGM)'!J14,'METCM (from METGM)'!J23,'METCM (from METGM)'!J32,'METCM (from METGM)'!J41,'METCM (from METGM)'!J50),1)</f>
        <v>50.437520500000005</v>
      </c>
      <c r="N88" s="156">
        <f ca="1">_xlfn.QUARTILE.INC(('METCM (from METGM)'!K5,'METCM (from METGM)'!K14,'METCM (from METGM)'!K23,'METCM (from METGM)'!K32,'METCM (from METGM)'!K41,'METCM (from METGM)'!K50),1)</f>
        <v>20.81228875</v>
      </c>
    </row>
    <row r="89" spans="1:14">
      <c r="A89" s="62"/>
      <c r="B89" s="196"/>
      <c r="C89" s="196"/>
      <c r="D89" s="200"/>
      <c r="E89" s="199"/>
      <c r="F89" s="200"/>
      <c r="G89" s="196"/>
      <c r="H89" s="123" t="s">
        <v>222</v>
      </c>
      <c r="I89" s="154">
        <f ca="1">_xlfn.QUARTILE.INC(('METCM (from METGM)'!J3,'METCM (from METGM)'!J12,'METCM (from METGM)'!J21,'METCM (from METGM)'!J30,'METCM (from METGM)'!J39,'METCM (from METGM)'!J48),3)</f>
        <v>60.958331250000001</v>
      </c>
      <c r="J89" s="155">
        <f ca="1">_xlfn.QUARTILE.INC(('METCM (from METGM)'!K3,'METCM (from METGM)'!K12,'METCM (from METGM)'!K21,'METCM (from METGM)'!K30,'METCM (from METGM)'!K39,'METCM (from METGM)'!K48),3)</f>
        <v>21.786768500000001</v>
      </c>
      <c r="K89" s="154">
        <f ca="1">_xlfn.QUARTILE.INC(('METCM (from METGM)'!J4,'METCM (from METGM)'!J13,'METCM (from METGM)'!J22,'METCM (from METGM)'!J31,'METCM (from METGM)'!J40,'METCM (from METGM)'!J49),3)</f>
        <v>61.038782499999996</v>
      </c>
      <c r="L89" s="155">
        <f ca="1">_xlfn.QUARTILE.INC(('METCM (from METGM)'!K4,'METCM (from METGM)'!K13,'METCM (from METGM)'!K22,'METCM (from METGM)'!K31,'METCM (from METGM)'!K40,'METCM (from METGM)'!K49),3)</f>
        <v>21.802937249999999</v>
      </c>
      <c r="M89" s="154">
        <f ca="1">_xlfn.QUARTILE.INC(('METCM (from METGM)'!J5,'METCM (from METGM)'!J14,'METCM (from METGM)'!J23,'METCM (from METGM)'!J32,'METCM (from METGM)'!J41,'METCM (from METGM)'!J50),3)</f>
        <v>62.078944000000007</v>
      </c>
      <c r="N89" s="156">
        <f ca="1">_xlfn.QUARTILE.INC(('METCM (from METGM)'!K5,'METCM (from METGM)'!K14,'METCM (from METGM)'!K23,'METCM (from METGM)'!K32,'METCM (from METGM)'!K41,'METCM (from METGM)'!K50),3)</f>
        <v>21.866312749999999</v>
      </c>
    </row>
    <row r="90" spans="1:14">
      <c r="A90" s="62"/>
      <c r="B90" s="196"/>
      <c r="C90" s="196"/>
      <c r="D90" s="200"/>
      <c r="E90" s="199"/>
      <c r="F90" s="200"/>
      <c r="G90" s="196">
        <v>3000</v>
      </c>
      <c r="H90" s="123" t="s">
        <v>224</v>
      </c>
      <c r="I90" s="151">
        <f ca="1">I89-I88</f>
        <v>1.977893250000001</v>
      </c>
      <c r="J90" s="152">
        <f ca="1">J89-J88</f>
        <v>0.84310500000000133</v>
      </c>
      <c r="K90" s="151">
        <f t="shared" ref="K90:N90" ca="1" si="27">K89-K88</f>
        <v>2.590273499999995</v>
      </c>
      <c r="L90" s="152">
        <f t="shared" ca="1" si="27"/>
        <v>0.85576325000000253</v>
      </c>
      <c r="M90" s="151">
        <f t="shared" ca="1" si="27"/>
        <v>11.641423500000002</v>
      </c>
      <c r="N90" s="153">
        <f t="shared" ca="1" si="27"/>
        <v>1.0540239999999983</v>
      </c>
    </row>
    <row r="91" spans="1:14">
      <c r="A91" s="62"/>
      <c r="B91" s="196"/>
      <c r="C91" s="196"/>
      <c r="D91" s="200"/>
      <c r="E91" s="199"/>
      <c r="F91" s="200"/>
      <c r="G91" s="196"/>
      <c r="H91" s="123" t="s">
        <v>225</v>
      </c>
      <c r="I91" s="151">
        <f>I85-_xlfn.CONFIDENCE.T(0.05,I86,I84)</f>
        <v>58.157721253199469</v>
      </c>
      <c r="J91" s="152">
        <f>J85-_xlfn.CONFIDENCE.T(0.05,J86,J84)</f>
        <v>20.823796942559319</v>
      </c>
      <c r="K91" s="151">
        <f t="shared" ref="K91:N91" si="28">K85-_xlfn.CONFIDENCE.T(0.05,K86,K84)</f>
        <v>57.872763228263054</v>
      </c>
      <c r="L91" s="152">
        <f t="shared" si="28"/>
        <v>20.818756086852265</v>
      </c>
      <c r="M91" s="151">
        <f t="shared" si="28"/>
        <v>49.136567481172555</v>
      </c>
      <c r="N91" s="153">
        <f t="shared" si="28"/>
        <v>20.687511233728998</v>
      </c>
    </row>
    <row r="92" spans="1:14">
      <c r="A92" s="62"/>
      <c r="B92" s="196"/>
      <c r="C92" s="196"/>
      <c r="D92" s="200"/>
      <c r="E92" s="199"/>
      <c r="F92" s="200"/>
      <c r="G92" s="196"/>
      <c r="H92" s="123" t="s">
        <v>226</v>
      </c>
      <c r="I92" s="151">
        <f>I85+_xlfn.CONFIDENCE.T(0.05,I86,I84)</f>
        <v>61.479941413467188</v>
      </c>
      <c r="J92" s="152">
        <f>J85+_xlfn.CONFIDENCE.T(0.05,J86,J84)</f>
        <v>21.90789905744068</v>
      </c>
      <c r="K92" s="151">
        <f t="shared" ref="K92:N92" si="29">K85+_xlfn.CONFIDENCE.T(0.05,K86,K84)</f>
        <v>61.531478771736943</v>
      </c>
      <c r="L92" s="152">
        <f t="shared" si="29"/>
        <v>21.926621579814398</v>
      </c>
      <c r="M92" s="151">
        <f t="shared" si="29"/>
        <v>64.259185185494118</v>
      </c>
      <c r="N92" s="153">
        <f t="shared" si="29"/>
        <v>22.000383432937667</v>
      </c>
    </row>
    <row r="93" spans="1:14">
      <c r="A93" s="63"/>
      <c r="B93" s="196"/>
      <c r="C93" s="196"/>
      <c r="D93" s="200"/>
      <c r="E93" s="204" t="s">
        <v>42</v>
      </c>
      <c r="F93" s="200"/>
      <c r="G93" s="196"/>
      <c r="H93" s="123" t="s">
        <v>217</v>
      </c>
      <c r="I93" s="111">
        <f>COUNT('METCM (from METGM)'!J6,'METCM (from METGM)'!J15,'METCM (from METGM)'!J24,'METCM (from METGM)'!J33,'METCM (from METGM)'!J42,'METCM (from METGM)'!J51)</f>
        <v>6</v>
      </c>
      <c r="J93" s="132">
        <f>COUNT('METCM (from METGM)'!K6,'METCM (from METGM)'!K15,'METCM (from METGM)'!K24,'METCM (from METGM)'!K33,'METCM (from METGM)'!K42,'METCM (from METGM)'!K51)</f>
        <v>6</v>
      </c>
      <c r="K93" s="111">
        <f>COUNT('METCM (from METGM)'!J7,'METCM (from METGM)'!J16,'METCM (from METGM)'!J25,'METCM (from METGM)'!J34,'METCM (from METGM)'!J43,'METCM (from METGM)'!J52)</f>
        <v>6</v>
      </c>
      <c r="L93" s="132">
        <f>COUNT('METCM (from METGM)'!K7,'METCM (from METGM)'!K16,'METCM (from METGM)'!K25,'METCM (from METGM)'!K34,'METCM (from METGM)'!K43,'METCM (from METGM)'!K52)</f>
        <v>6</v>
      </c>
      <c r="M93" s="111">
        <f>COUNT('METCM (from METGM)'!J8,'METCM (from METGM)'!J17,'METCM (from METGM)'!J26,'METCM (from METGM)'!J35,'METCM (from METGM)'!J44,'METCM (from METGM)'!J53)</f>
        <v>6</v>
      </c>
      <c r="N93" s="88">
        <f>COUNT('METCM (from METGM)'!K8,'METCM (from METGM)'!K17,'METCM (from METGM)'!K26,'METCM (from METGM)'!K35,'METCM (from METGM)'!K44,'METCM (from METGM)'!K53)</f>
        <v>6</v>
      </c>
    </row>
    <row r="94" spans="1:14">
      <c r="A94" s="63"/>
      <c r="B94" s="196"/>
      <c r="C94" s="196"/>
      <c r="D94" s="200"/>
      <c r="E94" s="204"/>
      <c r="F94" s="200"/>
      <c r="G94" s="196"/>
      <c r="H94" s="123" t="s">
        <v>218</v>
      </c>
      <c r="I94" s="157">
        <f>AVERAGE('METCM (from METGM)'!J6,'METCM (from METGM)'!J15,'METCM (from METGM)'!J24,'METCM (from METGM)'!J33,'METCM (from METGM)'!J42,'METCM (from METGM)'!J51)</f>
        <v>182.75676816666666</v>
      </c>
      <c r="J94" s="158">
        <f>AVERAGE('METCM (from METGM)'!K6,'METCM (from METGM)'!K15,'METCM (from METGM)'!K24,'METCM (from METGM)'!K33,'METCM (from METGM)'!K42,'METCM (from METGM)'!K51)</f>
        <v>34.468763000000003</v>
      </c>
      <c r="K94" s="157">
        <f>AVERAGE('METCM (from METGM)'!J7,'METCM (from METGM)'!J16,'METCM (from METGM)'!J25,'METCM (from METGM)'!J34,'METCM (from METGM)'!J43,'METCM (from METGM)'!J52)</f>
        <v>181.73908333333335</v>
      </c>
      <c r="L94" s="158">
        <f>AVERAGE('METCM (from METGM)'!K7,'METCM (from METGM)'!K16,'METCM (from METGM)'!K25,'METCM (from METGM)'!K34,'METCM (from METGM)'!K43,'METCM (from METGM)'!K52)</f>
        <v>34.485924000000004</v>
      </c>
      <c r="M94" s="157">
        <f>AVERAGE('METCM (from METGM)'!J8,'METCM (from METGM)'!J17,'METCM (from METGM)'!J26,'METCM (from METGM)'!J35,'METCM (from METGM)'!J44,'METCM (from METGM)'!J53)</f>
        <v>149.05870016666668</v>
      </c>
      <c r="N94" s="159">
        <f>AVERAGE('METCM (from METGM)'!K8,'METCM (from METGM)'!K17,'METCM (from METGM)'!K26,'METCM (from METGM)'!K35,'METCM (from METGM)'!K44,'METCM (from METGM)'!K53)</f>
        <v>33.984540666666668</v>
      </c>
    </row>
    <row r="95" spans="1:14">
      <c r="A95" s="63"/>
      <c r="B95" s="196"/>
      <c r="C95" s="196"/>
      <c r="D95" s="200"/>
      <c r="E95" s="204"/>
      <c r="F95" s="200"/>
      <c r="G95" s="196"/>
      <c r="H95" s="123" t="s">
        <v>219</v>
      </c>
      <c r="I95" s="157">
        <f>_xlfn.STDEV.S('METCM (from METGM)'!J6,'METCM (from METGM)'!J15,'METCM (from METGM)'!J24,'METCM (from METGM)'!J33,'METCM (from METGM)'!J42,'METCM (from METGM)'!J51)</f>
        <v>8.5039712523220707</v>
      </c>
      <c r="J95" s="158">
        <f>_xlfn.STDEV.S('METCM (from METGM)'!K6,'METCM (from METGM)'!K15,'METCM (from METGM)'!K24,'METCM (from METGM)'!K33,'METCM (from METGM)'!K42,'METCM (from METGM)'!K51)</f>
        <v>3.8873752159896857</v>
      </c>
      <c r="K95" s="157">
        <f>_xlfn.STDEV.S('METCM (from METGM)'!J7,'METCM (from METGM)'!J16,'METCM (from METGM)'!J25,'METCM (from METGM)'!J34,'METCM (from METGM)'!J43,'METCM (from METGM)'!J52)</f>
        <v>2.2055999418956911</v>
      </c>
      <c r="L95" s="158">
        <f>_xlfn.STDEV.S('METCM (from METGM)'!K7,'METCM (from METGM)'!K16,'METCM (from METGM)'!K25,'METCM (from METGM)'!K34,'METCM (from METGM)'!K43,'METCM (from METGM)'!K52)</f>
        <v>4.0221520226737955</v>
      </c>
      <c r="M95" s="157">
        <f>_xlfn.STDEV.S('METCM (from METGM)'!J8,'METCM (from METGM)'!J17,'METCM (from METGM)'!J26,'METCM (from METGM)'!J35,'METCM (from METGM)'!J44,'METCM (from METGM)'!J53)</f>
        <v>60.190861763464639</v>
      </c>
      <c r="N95" s="159">
        <f>_xlfn.STDEV.S('METCM (from METGM)'!K8,'METCM (from METGM)'!K17,'METCM (from METGM)'!K26,'METCM (from METGM)'!K35,'METCM (from METGM)'!K44,'METCM (from METGM)'!K53)</f>
        <v>5.4000033377874654</v>
      </c>
    </row>
    <row r="96" spans="1:14">
      <c r="A96" s="63"/>
      <c r="B96" s="196"/>
      <c r="C96" s="196"/>
      <c r="D96" s="200"/>
      <c r="E96" s="204"/>
      <c r="F96" s="200"/>
      <c r="G96" s="196"/>
      <c r="H96" s="123" t="s">
        <v>220</v>
      </c>
      <c r="I96" s="160">
        <f>MEDIAN('METCM (from METGM)'!J6,'METCM (from METGM)'!J15,'METCM (from METGM)'!J24,'METCM (from METGM)'!J33,'METCM (from METGM)'!J42,'METCM (from METGM)'!J51)</f>
        <v>180.08250600000002</v>
      </c>
      <c r="J96" s="161">
        <f>MEDIAN('METCM (from METGM)'!K6,'METCM (from METGM)'!K15,'METCM (from METGM)'!K24,'METCM (from METGM)'!K33,'METCM (from METGM)'!K42,'METCM (from METGM)'!K51)</f>
        <v>34.375939500000001</v>
      </c>
      <c r="K96" s="160">
        <f>MEDIAN('METCM (from METGM)'!J7,'METCM (from METGM)'!J16,'METCM (from METGM)'!J25,'METCM (from METGM)'!J34,'METCM (from METGM)'!J43,'METCM (from METGM)'!J52)</f>
        <v>181.96030450000001</v>
      </c>
      <c r="L96" s="161">
        <f>MEDIAN('METCM (from METGM)'!K7,'METCM (from METGM)'!K16,'METCM (from METGM)'!K25,'METCM (from METGM)'!K34,'METCM (from METGM)'!K43,'METCM (from METGM)'!K52)</f>
        <v>34.476725000000002</v>
      </c>
      <c r="M96" s="160">
        <f>MEDIAN('METCM (from METGM)'!J8,'METCM (from METGM)'!J17,'METCM (from METGM)'!J26,'METCM (from METGM)'!J35,'METCM (from METGM)'!J44,'METCM (from METGM)'!J53)</f>
        <v>186.52551800000001</v>
      </c>
      <c r="N96" s="162">
        <f>MEDIAN('METCM (from METGM)'!K8,'METCM (from METGM)'!K17,'METCM (from METGM)'!K26,'METCM (from METGM)'!K35,'METCM (from METGM)'!K44,'METCM (from METGM)'!K53)</f>
        <v>34.869648999999995</v>
      </c>
    </row>
    <row r="97" spans="1:14">
      <c r="A97" s="63"/>
      <c r="B97" s="196"/>
      <c r="C97" s="196"/>
      <c r="D97" s="200"/>
      <c r="E97" s="204"/>
      <c r="F97" s="200"/>
      <c r="G97" s="196"/>
      <c r="H97" s="123" t="s">
        <v>221</v>
      </c>
      <c r="I97" s="160">
        <f ca="1">_xlfn.QUARTILE.INC(('METCM (from METGM)'!J6,'METCM (from METGM)'!J15,'METCM (from METGM)'!J24,'METCM (from METGM)'!J33,'METCM (from METGM)'!J42,'METCM (from METGM)'!J51),1)</f>
        <v>178.64329724999999</v>
      </c>
      <c r="J97" s="161">
        <f ca="1">_xlfn.QUARTILE.INC(('METCM (from METGM)'!K6,'METCM (from METGM)'!K15,'METCM (from METGM)'!K24,'METCM (from METGM)'!K33,'METCM (from METGM)'!K42,'METCM (from METGM)'!K51),1)</f>
        <v>31.713501000000001</v>
      </c>
      <c r="K97" s="160">
        <f ca="1">_xlfn.QUARTILE.INC(('METCM (from METGM)'!J7,'METCM (from METGM)'!J16,'METCM (from METGM)'!J25,'METCM (from METGM)'!J34,'METCM (from METGM)'!J43,'METCM (from METGM)'!J52),1)</f>
        <v>180.514096</v>
      </c>
      <c r="L97" s="161">
        <f ca="1">_xlfn.QUARTILE.INC(('METCM (from METGM)'!K7,'METCM (from METGM)'!K16,'METCM (from METGM)'!K25,'METCM (from METGM)'!K34,'METCM (from METGM)'!K43,'METCM (from METGM)'!K52),1)</f>
        <v>31.407919</v>
      </c>
      <c r="M97" s="160">
        <f ca="1">_xlfn.QUARTILE.INC(('METCM (from METGM)'!J8,'METCM (from METGM)'!J17,'METCM (from METGM)'!J26,'METCM (from METGM)'!J35,'METCM (from METGM)'!J44,'METCM (from METGM)'!J53),1)</f>
        <v>100.08046225000001</v>
      </c>
      <c r="N97" s="162">
        <f ca="1">_xlfn.QUARTILE.INC(('METCM (from METGM)'!K8,'METCM (from METGM)'!K17,'METCM (from METGM)'!K26,'METCM (from METGM)'!K35,'METCM (from METGM)'!K44,'METCM (from METGM)'!K53),1)</f>
        <v>29.202088249999999</v>
      </c>
    </row>
    <row r="98" spans="1:14">
      <c r="A98" s="63"/>
      <c r="B98" s="196"/>
      <c r="C98" s="196"/>
      <c r="D98" s="200"/>
      <c r="E98" s="204"/>
      <c r="F98" s="200"/>
      <c r="G98" s="196"/>
      <c r="H98" s="123" t="s">
        <v>222</v>
      </c>
      <c r="I98" s="160">
        <f ca="1">_xlfn.QUARTILE.INC(('METCM (from METGM)'!J6,'METCM (from METGM)'!J15,'METCM (from METGM)'!J24,'METCM (from METGM)'!J33,'METCM (from METGM)'!J42,'METCM (from METGM)'!J51),3)</f>
        <v>181.47138150000001</v>
      </c>
      <c r="J98" s="161">
        <f ca="1">_xlfn.QUARTILE.INC(('METCM (from METGM)'!K6,'METCM (from METGM)'!K15,'METCM (from METGM)'!K24,'METCM (from METGM)'!K33,'METCM (from METGM)'!K42,'METCM (from METGM)'!K51),3)</f>
        <v>37.746404999999996</v>
      </c>
      <c r="K98" s="160">
        <f ca="1">_xlfn.QUARTILE.INC(('METCM (from METGM)'!J7,'METCM (from METGM)'!J16,'METCM (from METGM)'!J25,'METCM (from METGM)'!J34,'METCM (from METGM)'!J43,'METCM (from METGM)'!J52),3)</f>
        <v>183.27378924999999</v>
      </c>
      <c r="L98" s="161">
        <f ca="1">_xlfn.QUARTILE.INC(('METCM (from METGM)'!K7,'METCM (from METGM)'!K16,'METCM (from METGM)'!K25,'METCM (from METGM)'!K34,'METCM (from METGM)'!K43,'METCM (from METGM)'!K52),3)</f>
        <v>37.88765325</v>
      </c>
      <c r="M98" s="160">
        <f ca="1">_xlfn.QUARTILE.INC(('METCM (from METGM)'!J8,'METCM (from METGM)'!J17,'METCM (from METGM)'!J26,'METCM (from METGM)'!J35,'METCM (from METGM)'!J44,'METCM (from METGM)'!J53),3)</f>
        <v>188.67175724999998</v>
      </c>
      <c r="N98" s="162">
        <f ca="1">_xlfn.QUARTILE.INC(('METCM (from METGM)'!K8,'METCM (from METGM)'!K17,'METCM (from METGM)'!K26,'METCM (from METGM)'!K35,'METCM (from METGM)'!K44,'METCM (from METGM)'!K53),3)</f>
        <v>38.437298249999998</v>
      </c>
    </row>
    <row r="99" spans="1:14">
      <c r="A99" s="63"/>
      <c r="B99" s="196"/>
      <c r="C99" s="196"/>
      <c r="D99" s="200"/>
      <c r="E99" s="204"/>
      <c r="F99" s="200"/>
      <c r="G99" s="196"/>
      <c r="H99" s="123" t="s">
        <v>224</v>
      </c>
      <c r="I99" s="160">
        <f ca="1">I98-I97</f>
        <v>2.8280842500000176</v>
      </c>
      <c r="J99" s="161">
        <f ca="1">J98-J97</f>
        <v>6.0329039999999949</v>
      </c>
      <c r="K99" s="160">
        <f t="shared" ref="K99:N99" ca="1" si="30">K98-K97</f>
        <v>2.759693249999998</v>
      </c>
      <c r="L99" s="161">
        <f t="shared" ca="1" si="30"/>
        <v>6.4797342499999999</v>
      </c>
      <c r="M99" s="160">
        <f t="shared" ca="1" si="30"/>
        <v>88.591294999999974</v>
      </c>
      <c r="N99" s="162">
        <f t="shared" ca="1" si="30"/>
        <v>9.2352099999999986</v>
      </c>
    </row>
    <row r="100" spans="1:14">
      <c r="A100" s="63"/>
      <c r="B100" s="196"/>
      <c r="C100" s="196"/>
      <c r="D100" s="200"/>
      <c r="E100" s="204"/>
      <c r="F100" s="200"/>
      <c r="G100" s="196"/>
      <c r="H100" s="123" t="s">
        <v>225</v>
      </c>
      <c r="I100" s="160">
        <f>I94-_xlfn.CONFIDENCE.T(0.05,I95,I93)</f>
        <v>173.83239765382899</v>
      </c>
      <c r="J100" s="161">
        <f>J94-_xlfn.CONFIDENCE.T(0.05,J95,J93)</f>
        <v>30.389212902692076</v>
      </c>
      <c r="K100" s="160">
        <f t="shared" ref="K100:N100" si="31">K94-_xlfn.CONFIDENCE.T(0.05,K95,K93)</f>
        <v>179.42444814695551</v>
      </c>
      <c r="L100" s="161">
        <f t="shared" si="31"/>
        <v>30.2649343183264</v>
      </c>
      <c r="M100" s="160">
        <f t="shared" si="31"/>
        <v>85.892264636034412</v>
      </c>
      <c r="N100" s="162">
        <f t="shared" si="31"/>
        <v>28.317584708435227</v>
      </c>
    </row>
    <row r="101" spans="1:14">
      <c r="A101" s="63"/>
      <c r="B101" s="196"/>
      <c r="C101" s="196"/>
      <c r="D101" s="200"/>
      <c r="E101" s="204"/>
      <c r="F101" s="200"/>
      <c r="G101" s="196"/>
      <c r="H101" s="123" t="s">
        <v>226</v>
      </c>
      <c r="I101" s="160">
        <f>I94+_xlfn.CONFIDENCE.T(0.05,I95,I93)</f>
        <v>191.68113867950433</v>
      </c>
      <c r="J101" s="161">
        <f>J94+_xlfn.CONFIDENCE.T(0.05,J95,J93)</f>
        <v>38.548313097307933</v>
      </c>
      <c r="K101" s="160">
        <f t="shared" ref="K101:N101" si="32">K94+_xlfn.CONFIDENCE.T(0.05,K95,K93)</f>
        <v>184.0537185197112</v>
      </c>
      <c r="L101" s="161">
        <f t="shared" si="32"/>
        <v>38.706913681673605</v>
      </c>
      <c r="M101" s="160">
        <f t="shared" si="32"/>
        <v>212.22513569729895</v>
      </c>
      <c r="N101" s="162">
        <f t="shared" si="32"/>
        <v>39.651496624898108</v>
      </c>
    </row>
    <row r="102" spans="1:14">
      <c r="A102" s="46"/>
      <c r="B102" s="196"/>
      <c r="C102" s="196"/>
      <c r="D102" s="200"/>
      <c r="E102" s="206" t="s">
        <v>47</v>
      </c>
      <c r="F102" s="200"/>
      <c r="G102" s="196"/>
      <c r="H102" s="123" t="s">
        <v>217</v>
      </c>
      <c r="I102" s="97">
        <f>COUNT('METCM (from METGM)'!J9,'METCM (from METGM)'!J18,'METCM (from METGM)'!J27,'METCM (from METGM)'!J36,'METCM (from METGM)'!J45,'METCM (from METGM)'!J54)</f>
        <v>6</v>
      </c>
      <c r="J102" s="135">
        <f>COUNT('METCM (from METGM)'!K9,'METCM (from METGM)'!K18,'METCM (from METGM)'!K27,'METCM (from METGM)'!K36,'METCM (from METGM)'!K45,'METCM (from METGM)'!K54)</f>
        <v>6</v>
      </c>
      <c r="K102" s="97">
        <f>COUNT('METCM (from METGM)'!J10,'METCM (from METGM)'!J19,'METCM (from METGM)'!J28,'METCM (from METGM)'!J37,'METCM (from METGM)'!J46,'METCM (from METGM)'!J55)</f>
        <v>6</v>
      </c>
      <c r="L102" s="135">
        <f>COUNT('METCM (from METGM)'!K10,'METCM (from METGM)'!K19,'METCM (from METGM)'!K28,'METCM (from METGM)'!K37,'METCM (from METGM)'!K46,'METCM (from METGM)'!K55)</f>
        <v>6</v>
      </c>
      <c r="M102" s="97">
        <f>COUNT('METCM (from METGM)'!J11,'METCM (from METGM)'!J20,'METCM (from METGM)'!J29,'METCM (from METGM)'!J38,'METCM (from METGM)'!J47,'METCM (from METGM)'!J56)</f>
        <v>6</v>
      </c>
      <c r="N102" s="90">
        <f>COUNT('METCM (from METGM)'!K11,'METCM (from METGM)'!K20,'METCM (from METGM)'!K29,'METCM (from METGM)'!K38,'METCM (from METGM)'!K47,'METCM (from METGM)'!K56)</f>
        <v>6</v>
      </c>
    </row>
    <row r="103" spans="1:14">
      <c r="A103" s="46"/>
      <c r="B103" s="196"/>
      <c r="C103" s="196"/>
      <c r="D103" s="200"/>
      <c r="E103" s="206"/>
      <c r="F103" s="200"/>
      <c r="G103" s="196"/>
      <c r="H103" s="123" t="s">
        <v>218</v>
      </c>
      <c r="I103" s="169">
        <f>AVERAGE('METCM (from METGM)'!J9,'METCM (from METGM)'!J18,'METCM (from METGM)'!J27,'METCM (from METGM)'!J36,'METCM (from METGM)'!J45,'METCM (from METGM)'!J54)</f>
        <v>344.26014149999997</v>
      </c>
      <c r="J103" s="170">
        <f>AVERAGE('METCM (from METGM)'!K9,'METCM (from METGM)'!K18,'METCM (from METGM)'!K27,'METCM (from METGM)'!K36,'METCM (from METGM)'!K45,'METCM (from METGM)'!K54)</f>
        <v>60.127643666666664</v>
      </c>
      <c r="K103" s="169">
        <f>AVERAGE('METCM (from METGM)'!J10,'METCM (from METGM)'!J19,'METCM (from METGM)'!J28,'METCM (from METGM)'!J37,'METCM (from METGM)'!J46,'METCM (from METGM)'!J55)</f>
        <v>342.29478450000005</v>
      </c>
      <c r="L103" s="170">
        <f>AVERAGE('METCM (from METGM)'!K10,'METCM (from METGM)'!K19,'METCM (from METGM)'!K28,'METCM (from METGM)'!K37,'METCM (from METGM)'!K46,'METCM (from METGM)'!K55)</f>
        <v>60.254354333333339</v>
      </c>
      <c r="M103" s="169">
        <f>AVERAGE('METCM (from METGM)'!J11,'METCM (from METGM)'!J20,'METCM (from METGM)'!J29,'METCM (from METGM)'!J38,'METCM (from METGM)'!J47,'METCM (from METGM)'!J56)</f>
        <v>276.41426933333332</v>
      </c>
      <c r="N103" s="171">
        <f>AVERAGE('METCM (from METGM)'!K11,'METCM (from METGM)'!K20,'METCM (from METGM)'!K29,'METCM (from METGM)'!K38,'METCM (from METGM)'!K47,'METCM (from METGM)'!K56)</f>
        <v>59.789668666666671</v>
      </c>
    </row>
    <row r="104" spans="1:14">
      <c r="A104" s="46"/>
      <c r="B104" s="196"/>
      <c r="C104" s="196"/>
      <c r="D104" s="200"/>
      <c r="E104" s="206"/>
      <c r="F104" s="200"/>
      <c r="G104" s="196"/>
      <c r="H104" s="123" t="s">
        <v>219</v>
      </c>
      <c r="I104" s="169">
        <f>_xlfn.STDEV.S('METCM (from METGM)'!J9,'METCM (from METGM)'!J18,'METCM (from METGM)'!J27,'METCM (from METGM)'!J36,'METCM (from METGM)'!J45,'METCM (from METGM)'!J54)</f>
        <v>17.434424054035631</v>
      </c>
      <c r="J104" s="170">
        <f>_xlfn.STDEV.S('METCM (from METGM)'!K9,'METCM (from METGM)'!K18,'METCM (from METGM)'!K27,'METCM (from METGM)'!K36,'METCM (from METGM)'!K45,'METCM (from METGM)'!K54)</f>
        <v>23.700445714076352</v>
      </c>
      <c r="K104" s="169">
        <f>_xlfn.STDEV.S('METCM (from METGM)'!J10,'METCM (from METGM)'!J19,'METCM (from METGM)'!J28,'METCM (from METGM)'!J37,'METCM (from METGM)'!J46,'METCM (from METGM)'!J55)</f>
        <v>8.6809009224064493</v>
      </c>
      <c r="L104" s="170">
        <f>_xlfn.STDEV.S('METCM (from METGM)'!K10,'METCM (from METGM)'!K19,'METCM (from METGM)'!K28,'METCM (from METGM)'!K37,'METCM (from METGM)'!K46,'METCM (from METGM)'!K55)</f>
        <v>24.059196252787206</v>
      </c>
      <c r="M104" s="169">
        <f>_xlfn.STDEV.S('METCM (from METGM)'!J11,'METCM (from METGM)'!J20,'METCM (from METGM)'!J29,'METCM (from METGM)'!J38,'METCM (from METGM)'!J47,'METCM (from METGM)'!J56)</f>
        <v>122.33868252906635</v>
      </c>
      <c r="N104" s="171">
        <f>_xlfn.STDEV.S('METCM (from METGM)'!K11,'METCM (from METGM)'!K20,'METCM (from METGM)'!K29,'METCM (from METGM)'!K38,'METCM (from METGM)'!K47,'METCM (from METGM)'!K56)</f>
        <v>26.435133335879307</v>
      </c>
    </row>
    <row r="105" spans="1:14">
      <c r="A105" s="46"/>
      <c r="B105" s="196"/>
      <c r="C105" s="196"/>
      <c r="D105" s="200"/>
      <c r="E105" s="206"/>
      <c r="F105" s="200"/>
      <c r="G105" s="196"/>
      <c r="H105" s="123" t="s">
        <v>220</v>
      </c>
      <c r="I105" s="172">
        <f>MEDIAN('METCM (from METGM)'!J9,'METCM (from METGM)'!J18,'METCM (from METGM)'!J27,'METCM (from METGM)'!J36,'METCM (from METGM)'!J45,'METCM (from METGM)'!J54)</f>
        <v>338.02975349999997</v>
      </c>
      <c r="J105" s="173">
        <f>MEDIAN('METCM (from METGM)'!K9,'METCM (from METGM)'!K18,'METCM (from METGM)'!K27,'METCM (from METGM)'!K36,'METCM (from METGM)'!K45,'METCM (from METGM)'!K54)</f>
        <v>53.154975</v>
      </c>
      <c r="K105" s="172">
        <f>MEDIAN('METCM (from METGM)'!J10,'METCM (from METGM)'!J19,'METCM (from METGM)'!J28,'METCM (from METGM)'!J37,'METCM (from METGM)'!J46,'METCM (from METGM)'!J55)</f>
        <v>341.58855349999999</v>
      </c>
      <c r="L105" s="173">
        <f>MEDIAN('METCM (from METGM)'!K10,'METCM (from METGM)'!K19,'METCM (from METGM)'!K28,'METCM (from METGM)'!K37,'METCM (from METGM)'!K46,'METCM (from METGM)'!K55)</f>
        <v>53.370551000000006</v>
      </c>
      <c r="M105" s="172">
        <f>MEDIAN('METCM (from METGM)'!J11,'METCM (from METGM)'!J20,'METCM (from METGM)'!J29,'METCM (from METGM)'!J38,'METCM (from METGM)'!J47,'METCM (from METGM)'!J56)</f>
        <v>348.33864249999999</v>
      </c>
      <c r="N105" s="174">
        <f>MEDIAN('METCM (from METGM)'!K11,'METCM (from METGM)'!K20,'METCM (from METGM)'!K29,'METCM (from METGM)'!K38,'METCM (from METGM)'!K47,'METCM (from METGM)'!K56)</f>
        <v>54.208579499999999</v>
      </c>
    </row>
    <row r="106" spans="1:14">
      <c r="A106" s="46"/>
      <c r="B106" s="196"/>
      <c r="C106" s="196"/>
      <c r="D106" s="200"/>
      <c r="E106" s="206"/>
      <c r="F106" s="200"/>
      <c r="G106" s="196"/>
      <c r="H106" s="123" t="s">
        <v>221</v>
      </c>
      <c r="I106" s="172">
        <f ca="1">_xlfn.QUARTILE.INC(('METCM (from METGM)'!J9,'METCM (from METGM)'!J18,'METCM (from METGM)'!J27,'METCM (from METGM)'!J36,'METCM (from METGM)'!J45,'METCM (from METGM)'!J54),1)</f>
        <v>332.84921050000003</v>
      </c>
      <c r="J106" s="173">
        <f ca="1">_xlfn.QUARTILE.INC(('METCM (from METGM)'!K9,'METCM (from METGM)'!K18,'METCM (from METGM)'!K27,'METCM (from METGM)'!K36,'METCM (from METGM)'!K45,'METCM (from METGM)'!K54),1)</f>
        <v>45.043583749999996</v>
      </c>
      <c r="K106" s="172">
        <f ca="1">_xlfn.QUARTILE.INC(('METCM (from METGM)'!J10,'METCM (from METGM)'!J19,'METCM (from METGM)'!J28,'METCM (from METGM)'!J37,'METCM (from METGM)'!J46,'METCM (from METGM)'!J55),1)</f>
        <v>336.49158625000001</v>
      </c>
      <c r="L106" s="173">
        <f ca="1">_xlfn.QUARTILE.INC(('METCM (from METGM)'!K10,'METCM (from METGM)'!K19,'METCM (from METGM)'!K28,'METCM (from METGM)'!K37,'METCM (from METGM)'!K46,'METCM (from METGM)'!K55),1)</f>
        <v>44.500759250000002</v>
      </c>
      <c r="M106" s="172">
        <f ca="1">_xlfn.QUARTILE.INC(('METCM (from METGM)'!J11,'METCM (from METGM)'!J20,'METCM (from METGM)'!J29,'METCM (from METGM)'!J38,'METCM (from METGM)'!J47,'METCM (from METGM)'!J56),1)</f>
        <v>175.97716</v>
      </c>
      <c r="N106" s="174">
        <f ca="1">_xlfn.QUARTILE.INC(('METCM (from METGM)'!K11,'METCM (from METGM)'!K20,'METCM (from METGM)'!K29,'METCM (from METGM)'!K38,'METCM (from METGM)'!K47,'METCM (from METGM)'!K56),1)</f>
        <v>40.505792749999998</v>
      </c>
    </row>
    <row r="107" spans="1:14">
      <c r="A107" s="46"/>
      <c r="B107" s="196"/>
      <c r="C107" s="196"/>
      <c r="D107" s="200"/>
      <c r="E107" s="206"/>
      <c r="F107" s="200"/>
      <c r="G107" s="196"/>
      <c r="H107" s="123" t="s">
        <v>222</v>
      </c>
      <c r="I107" s="172">
        <f ca="1">_xlfn.QUARTILE.INC(('METCM (from METGM)'!J9,'METCM (from METGM)'!J18,'METCM (from METGM)'!J27,'METCM (from METGM)'!J36,'METCM (from METGM)'!J45,'METCM (from METGM)'!J54),3)</f>
        <v>350.10590974999997</v>
      </c>
      <c r="J107" s="173">
        <f ca="1">_xlfn.QUARTILE.INC(('METCM (from METGM)'!K9,'METCM (from METGM)'!K18,'METCM (from METGM)'!K27,'METCM (from METGM)'!K36,'METCM (from METGM)'!K45,'METCM (from METGM)'!K54),3)</f>
        <v>64.017485500000006</v>
      </c>
      <c r="K107" s="172">
        <f ca="1">_xlfn.QUARTILE.INC(('METCM (from METGM)'!J10,'METCM (from METGM)'!J19,'METCM (from METGM)'!J28,'METCM (from METGM)'!J37,'METCM (from METGM)'!J46,'METCM (from METGM)'!J55),3)</f>
        <v>345.211749</v>
      </c>
      <c r="L107" s="173">
        <f ca="1">_xlfn.QUARTILE.INC(('METCM (from METGM)'!K10,'METCM (from METGM)'!K19,'METCM (from METGM)'!K28,'METCM (from METGM)'!K37,'METCM (from METGM)'!K46,'METCM (from METGM)'!K55),3)</f>
        <v>64.349932249999995</v>
      </c>
      <c r="M107" s="172">
        <f ca="1">_xlfn.QUARTILE.INC(('METCM (from METGM)'!J11,'METCM (from METGM)'!J20,'METCM (from METGM)'!J29,'METCM (from METGM)'!J38,'METCM (from METGM)'!J47,'METCM (from METGM)'!J56),3)</f>
        <v>352.04875225000001</v>
      </c>
      <c r="N107" s="174">
        <f ca="1">_xlfn.QUARTILE.INC(('METCM (from METGM)'!K11,'METCM (from METGM)'!K20,'METCM (from METGM)'!K29,'METCM (from METGM)'!K38,'METCM (from METGM)'!K47,'METCM (from METGM)'!K56),3)</f>
        <v>65.639131750000004</v>
      </c>
    </row>
    <row r="108" spans="1:14">
      <c r="A108" s="46"/>
      <c r="B108" s="196"/>
      <c r="C108" s="196"/>
      <c r="D108" s="200"/>
      <c r="E108" s="206"/>
      <c r="F108" s="200"/>
      <c r="G108" s="196"/>
      <c r="H108" s="123" t="s">
        <v>224</v>
      </c>
      <c r="I108" s="172">
        <f ca="1">I107-I106</f>
        <v>17.25669924999994</v>
      </c>
      <c r="J108" s="173">
        <f ca="1">J107-J106</f>
        <v>18.97390175000001</v>
      </c>
      <c r="K108" s="172">
        <f t="shared" ref="K108:N108" ca="1" si="33">K107-K106</f>
        <v>8.7201627499999859</v>
      </c>
      <c r="L108" s="173">
        <f t="shared" ca="1" si="33"/>
        <v>19.849172999999993</v>
      </c>
      <c r="M108" s="172">
        <f t="shared" ca="1" si="33"/>
        <v>176.07159225000001</v>
      </c>
      <c r="N108" s="174">
        <f t="shared" ca="1" si="33"/>
        <v>25.133339000000007</v>
      </c>
    </row>
    <row r="109" spans="1:14">
      <c r="A109" s="46"/>
      <c r="B109" s="196"/>
      <c r="C109" s="196"/>
      <c r="D109" s="200"/>
      <c r="E109" s="206"/>
      <c r="F109" s="200"/>
      <c r="G109" s="196"/>
      <c r="H109" s="123" t="s">
        <v>225</v>
      </c>
      <c r="I109" s="172">
        <f>I103-_xlfn.CONFIDENCE.T(0.05,I104,I102)</f>
        <v>325.96383553663514</v>
      </c>
      <c r="J109" s="173">
        <f>J103-_xlfn.CONFIDENCE.T(0.05,J104,J102)</f>
        <v>35.255551252894904</v>
      </c>
      <c r="K109" s="172">
        <f t="shared" ref="K109:N109" si="34">K103-_xlfn.CONFIDENCE.T(0.05,K104,K102)</f>
        <v>333.1847376856208</v>
      </c>
      <c r="L109" s="173">
        <f t="shared" si="34"/>
        <v>35.005776318406518</v>
      </c>
      <c r="M109" s="172">
        <f t="shared" si="34"/>
        <v>148.02769574941087</v>
      </c>
      <c r="N109" s="174">
        <f t="shared" si="34"/>
        <v>32.047697598592499</v>
      </c>
    </row>
    <row r="110" spans="1:14">
      <c r="A110" s="93"/>
      <c r="B110" s="203"/>
      <c r="C110" s="203"/>
      <c r="D110" s="205"/>
      <c r="E110" s="208"/>
      <c r="F110" s="205"/>
      <c r="G110" s="203"/>
      <c r="H110" s="142" t="s">
        <v>226</v>
      </c>
      <c r="I110" s="175">
        <f>I103+_xlfn.CONFIDENCE.T(0.05,I104,I102)</f>
        <v>362.5564474633648</v>
      </c>
      <c r="J110" s="176">
        <f>J103+_xlfn.CONFIDENCE.T(0.05,J104,J102)</f>
        <v>84.999736080438424</v>
      </c>
      <c r="K110" s="175">
        <f t="shared" ref="K110:N110" si="35">K103+_xlfn.CONFIDENCE.T(0.05,K104,K102)</f>
        <v>351.40483131437929</v>
      </c>
      <c r="L110" s="176">
        <f t="shared" si="35"/>
        <v>85.50293234826016</v>
      </c>
      <c r="M110" s="175">
        <f t="shared" si="35"/>
        <v>404.80084291725575</v>
      </c>
      <c r="N110" s="177">
        <f t="shared" si="35"/>
        <v>87.53163973474085</v>
      </c>
    </row>
    <row r="111" spans="1:14">
      <c r="A111" s="61"/>
      <c r="B111" s="195" t="s">
        <v>29</v>
      </c>
      <c r="C111" s="195" t="s">
        <v>11</v>
      </c>
      <c r="D111" s="198" t="s">
        <v>26</v>
      </c>
      <c r="E111" s="198" t="s">
        <v>40</v>
      </c>
      <c r="F111" s="202" t="s">
        <v>229</v>
      </c>
      <c r="G111" s="195">
        <v>15990</v>
      </c>
      <c r="H111" s="122" t="s">
        <v>217</v>
      </c>
      <c r="I111" s="107">
        <f>COUNT('METCM (from METGC)'!J3,'METCM (from METGC)'!J12,'METCM (from METGC)'!J21,'METCM (from METGC)'!J30,'METCM (from METGC)'!J39,'METCM (from METGC)'!J48)</f>
        <v>6</v>
      </c>
      <c r="J111" s="127">
        <f>COUNT('METCM (from METGC)'!K3,'METCM (from METGC)'!K12,'METCM (from METGC)'!K21,'METCM (from METGC)'!K30,'METCM (from METGC)'!K39,'METCM (from METGC)'!K48)</f>
        <v>6</v>
      </c>
      <c r="K111" s="107">
        <f>COUNT('METCM (from METGC)'!J4,'METCM (from METGC)'!J13,'METCM (from METGC)'!J22,'METCM (from METGC)'!J31,'METCM (from METGC)'!J40,'METCM (from METGC)'!J49)</f>
        <v>6</v>
      </c>
      <c r="L111" s="127">
        <f>COUNT('METCM (from METGC)'!K4,'METCM (from METGC)'!K13,'METCM (from METGC)'!K22,'METCM (from METGC)'!K31,'METCM (from METGC)'!K40,'METCM (from METGC)'!K49)</f>
        <v>6</v>
      </c>
      <c r="M111" s="107">
        <f>COUNT('METCM (from METGC)'!J5,'METCM (from METGC)'!J14,'METCM (from METGC)'!J23,'METCM (from METGC)'!J32,'METCM (from METGC)'!J41,'METCM (from METGC)'!J50)</f>
        <v>6</v>
      </c>
      <c r="N111" s="85">
        <f>COUNT('METCM (from METGC)'!K5,'METCM (from METGC)'!K14,'METCM (from METGC)'!K23,'METCM (from METGC)'!K32,'METCM (from METGC)'!K41,'METCM (from METGC)'!K50)</f>
        <v>6</v>
      </c>
    </row>
    <row r="112" spans="1:14">
      <c r="A112" s="62"/>
      <c r="B112" s="196"/>
      <c r="C112" s="196"/>
      <c r="D112" s="199"/>
      <c r="E112" s="199"/>
      <c r="F112" s="200"/>
      <c r="G112" s="196"/>
      <c r="H112" s="123" t="s">
        <v>218</v>
      </c>
      <c r="I112" s="148">
        <f>AVERAGE('METCM (from METGC)'!J3,'METCM (from METGC)'!J12,'METCM (from METGC)'!J21,'METCM (from METGC)'!J30,'METCM (from METGC)'!J39,'METCM (from METGC)'!J48)</f>
        <v>81.250996499999999</v>
      </c>
      <c r="J112" s="149">
        <f>AVERAGE('METCM (from METGC)'!K3,'METCM (from METGC)'!K12,'METCM (from METGC)'!K21,'METCM (from METGC)'!K30,'METCM (from METGC)'!K39,'METCM (from METGC)'!K48)</f>
        <v>21.532237666666664</v>
      </c>
      <c r="K112" s="148">
        <f>AVERAGE('METCM (from METGC)'!J4,'METCM (from METGC)'!J13,'METCM (from METGC)'!J22,'METCM (from METGC)'!J31,'METCM (from METGC)'!J40,'METCM (from METGC)'!J49)</f>
        <v>81.470614833333343</v>
      </c>
      <c r="L112" s="149">
        <f>AVERAGE('METCM (from METGC)'!K4,'METCM (from METGC)'!K13,'METCM (from METGC)'!K22,'METCM (from METGC)'!K31,'METCM (from METGC)'!K40,'METCM (from METGC)'!K49)</f>
        <v>21.541807666666671</v>
      </c>
      <c r="M112" s="148">
        <f>AVERAGE('METCM (from METGC)'!J5,'METCM (from METGC)'!J14,'METCM (from METGC)'!J23,'METCM (from METGC)'!J32,'METCM (from METGC)'!J41,'METCM (from METGC)'!J50)</f>
        <v>82.337907166666668</v>
      </c>
      <c r="N112" s="150">
        <f>AVERAGE('METCM (from METGC)'!K5,'METCM (from METGC)'!K14,'METCM (from METGC)'!K23,'METCM (from METGC)'!K32,'METCM (from METGC)'!K41,'METCM (from METGC)'!K50)</f>
        <v>21.579331</v>
      </c>
    </row>
    <row r="113" spans="1:14">
      <c r="A113" s="62"/>
      <c r="B113" s="196"/>
      <c r="C113" s="196"/>
      <c r="D113" s="199"/>
      <c r="E113" s="199"/>
      <c r="F113" s="200"/>
      <c r="G113" s="196"/>
      <c r="H113" s="123" t="s">
        <v>219</v>
      </c>
      <c r="I113" s="148">
        <f>_xlfn.STDEV.S('METCM (from METGC)'!J3,'METCM (from METGC)'!J12,'METCM (from METGC)'!J21,'METCM (from METGC)'!J30,'METCM (from METGC)'!J39,'METCM (from METGC)'!J48)</f>
        <v>53.163898444725262</v>
      </c>
      <c r="J113" s="149">
        <f>_xlfn.STDEV.S('METCM (from METGC)'!K3,'METCM (from METGC)'!K12,'METCM (from METGC)'!K21,'METCM (from METGC)'!K30,'METCM (from METGC)'!K39,'METCM (from METGC)'!K48)</f>
        <v>0.48379110184072999</v>
      </c>
      <c r="K113" s="148">
        <f>_xlfn.STDEV.S('METCM (from METGC)'!J4,'METCM (from METGC)'!J13,'METCM (from METGC)'!J22,'METCM (from METGC)'!J31,'METCM (from METGC)'!J40,'METCM (from METGC)'!J49)</f>
        <v>53.089291725496878</v>
      </c>
      <c r="L113" s="149">
        <f>_xlfn.STDEV.S('METCM (from METGC)'!K4,'METCM (from METGC)'!K13,'METCM (from METGC)'!K22,'METCM (from METGC)'!K31,'METCM (from METGC)'!K40,'METCM (from METGC)'!K49)</f>
        <v>0.48866203694196186</v>
      </c>
      <c r="M113" s="148">
        <f>_xlfn.STDEV.S('METCM (from METGC)'!J5,'METCM (from METGC)'!J14,'METCM (from METGC)'!J23,'METCM (from METGC)'!J32,'METCM (from METGC)'!J41,'METCM (from METGC)'!J50)</f>
        <v>52.79620788947814</v>
      </c>
      <c r="N113" s="150">
        <f>_xlfn.STDEV.S('METCM (from METGC)'!K5,'METCM (from METGC)'!K14,'METCM (from METGC)'!K23,'METCM (from METGC)'!K32,'METCM (from METGC)'!K41,'METCM (from METGC)'!K50)</f>
        <v>0.50852273784286139</v>
      </c>
    </row>
    <row r="114" spans="1:14">
      <c r="A114" s="62"/>
      <c r="B114" s="196"/>
      <c r="C114" s="196"/>
      <c r="D114" s="199"/>
      <c r="E114" s="199"/>
      <c r="F114" s="200"/>
      <c r="G114" s="196"/>
      <c r="H114" s="123" t="s">
        <v>220</v>
      </c>
      <c r="I114" s="151">
        <f>MEDIAN('METCM (from METGC)'!J3,'METCM (from METGC)'!J12,'METCM (from METGC)'!J21,'METCM (from METGC)'!J30,'METCM (from METGC)'!J39,'METCM (from METGC)'!J48)</f>
        <v>60.3375165</v>
      </c>
      <c r="J114" s="152">
        <f>MEDIAN('METCM (from METGC)'!K3,'METCM (from METGC)'!K12,'METCM (from METGC)'!K21,'METCM (from METGC)'!K30,'METCM (from METGC)'!K39,'METCM (from METGC)'!K48)</f>
        <v>21.654848999999999</v>
      </c>
      <c r="K114" s="151">
        <f>MEDIAN('METCM (from METGC)'!J4,'METCM (from METGC)'!J13,'METCM (from METGC)'!J22,'METCM (from METGC)'!J31,'METCM (from METGC)'!J40,'METCM (from METGC)'!J49)</f>
        <v>60.596620000000001</v>
      </c>
      <c r="L114" s="152">
        <f>MEDIAN('METCM (from METGC)'!K4,'METCM (from METGC)'!K13,'METCM (from METGC)'!K22,'METCM (from METGC)'!K31,'METCM (from METGC)'!K40,'METCM (from METGC)'!K49)</f>
        <v>21.660668000000001</v>
      </c>
      <c r="M114" s="151">
        <f>MEDIAN('METCM (from METGC)'!J5,'METCM (from METGC)'!J14,'METCM (from METGC)'!J23,'METCM (from METGC)'!J32,'METCM (from METGC)'!J41,'METCM (from METGC)'!J50)</f>
        <v>61.618264000000003</v>
      </c>
      <c r="N114" s="153">
        <f>MEDIAN('METCM (from METGC)'!K5,'METCM (from METGC)'!K14,'METCM (from METGC)'!K23,'METCM (from METGC)'!K32,'METCM (from METGC)'!K41,'METCM (from METGC)'!K50)</f>
        <v>21.683509999999998</v>
      </c>
    </row>
    <row r="115" spans="1:14">
      <c r="A115" s="62"/>
      <c r="B115" s="196"/>
      <c r="C115" s="196"/>
      <c r="D115" s="200"/>
      <c r="E115" s="199"/>
      <c r="F115" s="200"/>
      <c r="G115" s="196"/>
      <c r="H115" s="123" t="s">
        <v>221</v>
      </c>
      <c r="I115" s="154">
        <f ca="1">_xlfn.QUARTILE.INC(('METCM (from METGC)'!J3,'METCM (from METGC)'!J12,'METCM (from METGC)'!J21,'METCM (from METGC)'!J30,'METCM (from METGC)'!J39,'METCM (from METGC)'!J48),1)</f>
        <v>58.28670675</v>
      </c>
      <c r="J115" s="155">
        <f ca="1">_xlfn.QUARTILE.INC(('METCM (from METGC)'!K3,'METCM (from METGC)'!K12,'METCM (from METGC)'!K21,'METCM (from METGC)'!K30,'METCM (from METGC)'!K39,'METCM (from METGC)'!K48),1)</f>
        <v>21.127274</v>
      </c>
      <c r="K115" s="154">
        <f ca="1">_xlfn.QUARTILE.INC(('METCM (from METGC)'!J4,'METCM (from METGC)'!J13,'METCM (from METGC)'!J22,'METCM (from METGC)'!J31,'METCM (from METGC)'!J40,'METCM (from METGC)'!J49),1)</f>
        <v>58.5229645</v>
      </c>
      <c r="L115" s="155">
        <f ca="1">_xlfn.QUARTILE.INC(('METCM (from METGC)'!K4,'METCM (from METGC)'!K13,'METCM (from METGC)'!K22,'METCM (from METGC)'!K31,'METCM (from METGC)'!K40,'METCM (from METGC)'!K49),1)</f>
        <v>21.13365975</v>
      </c>
      <c r="M115" s="154">
        <f ca="1">_xlfn.QUARTILE.INC(('METCM (from METGC)'!J5,'METCM (from METGC)'!J14,'METCM (from METGC)'!J23,'METCM (from METGC)'!J32,'METCM (from METGC)'!J41,'METCM (from METGC)'!J50),1)</f>
        <v>59.45688475</v>
      </c>
      <c r="N115" s="156">
        <f ca="1">_xlfn.QUARTILE.INC(('METCM (from METGC)'!K5,'METCM (from METGC)'!K14,'METCM (from METGC)'!K23,'METCM (from METGC)'!K32,'METCM (from METGC)'!K41,'METCM (from METGC)'!K50),1)</f>
        <v>21.1587155</v>
      </c>
    </row>
    <row r="116" spans="1:14">
      <c r="A116" s="62"/>
      <c r="B116" s="196"/>
      <c r="C116" s="196"/>
      <c r="D116" s="200"/>
      <c r="E116" s="199"/>
      <c r="F116" s="200"/>
      <c r="G116" s="196"/>
      <c r="H116" s="123" t="s">
        <v>222</v>
      </c>
      <c r="I116" s="154">
        <f ca="1">_xlfn.QUARTILE.INC(('METCM (from METGC)'!J3,'METCM (from METGC)'!J12,'METCM (from METGC)'!J21,'METCM (from METGC)'!J30,'METCM (from METGC)'!J39,'METCM (from METGC)'!J48),3)</f>
        <v>61.622442749999998</v>
      </c>
      <c r="J116" s="155">
        <f ca="1">_xlfn.QUARTILE.INC(('METCM (from METGC)'!K3,'METCM (from METGC)'!K12,'METCM (from METGC)'!K21,'METCM (from METGC)'!K30,'METCM (from METGC)'!K39,'METCM (from METGC)'!K48),3)</f>
        <v>21.894101500000001</v>
      </c>
      <c r="K116" s="154">
        <f ca="1">_xlfn.QUARTILE.INC(('METCM (from METGC)'!J4,'METCM (from METGC)'!J13,'METCM (from METGC)'!J22,'METCM (from METGC)'!J31,'METCM (from METGC)'!J40,'METCM (from METGC)'!J49),3)</f>
        <v>61.895664999999994</v>
      </c>
      <c r="L116" s="155">
        <f ca="1">_xlfn.QUARTILE.INC(('METCM (from METGC)'!K4,'METCM (from METGC)'!K13,'METCM (from METGC)'!K22,'METCM (from METGC)'!K31,'METCM (from METGC)'!K40,'METCM (from METGC)'!K49),3)</f>
        <v>21.907641249999998</v>
      </c>
      <c r="M116" s="154">
        <f ca="1">_xlfn.QUARTILE.INC(('METCM (from METGC)'!J5,'METCM (from METGC)'!J14,'METCM (from METGC)'!J23,'METCM (from METGC)'!J32,'METCM (from METGC)'!J41,'METCM (from METGC)'!J50),3)</f>
        <v>62.97151375</v>
      </c>
      <c r="N116" s="156">
        <f ca="1">_xlfn.QUARTILE.INC(('METCM (from METGC)'!K5,'METCM (from METGC)'!K14,'METCM (from METGC)'!K23,'METCM (from METGC)'!K32,'METCM (from METGC)'!K41,'METCM (from METGC)'!K50),3)</f>
        <v>21.96071675</v>
      </c>
    </row>
    <row r="117" spans="1:14">
      <c r="A117" s="62"/>
      <c r="B117" s="196"/>
      <c r="C117" s="196"/>
      <c r="D117" s="200"/>
      <c r="E117" s="199"/>
      <c r="F117" s="200"/>
      <c r="G117" s="196">
        <v>3000</v>
      </c>
      <c r="H117" s="123" t="s">
        <v>224</v>
      </c>
      <c r="I117" s="151">
        <f ca="1">I116-I115</f>
        <v>3.3357359999999971</v>
      </c>
      <c r="J117" s="152">
        <f ca="1">J116-J115</f>
        <v>0.76682750000000155</v>
      </c>
      <c r="K117" s="151">
        <f t="shared" ref="K117:N117" ca="1" si="36">K116-K115</f>
        <v>3.3727004999999934</v>
      </c>
      <c r="L117" s="152">
        <f t="shared" ca="1" si="36"/>
        <v>0.77398149999999788</v>
      </c>
      <c r="M117" s="151">
        <f t="shared" ca="1" si="36"/>
        <v>3.5146289999999993</v>
      </c>
      <c r="N117" s="153">
        <f t="shared" ca="1" si="36"/>
        <v>0.80200125</v>
      </c>
    </row>
    <row r="118" spans="1:14">
      <c r="A118" s="62"/>
      <c r="B118" s="196"/>
      <c r="C118" s="196"/>
      <c r="D118" s="200"/>
      <c r="E118" s="199"/>
      <c r="F118" s="200"/>
      <c r="G118" s="196"/>
      <c r="H118" s="123" t="s">
        <v>225</v>
      </c>
      <c r="I118" s="151">
        <f>I112-_xlfn.CONFIDENCE.T(0.05,I113,I111)</f>
        <v>25.458906716294599</v>
      </c>
      <c r="J118" s="152">
        <f>J112-_xlfn.CONFIDENCE.T(0.05,J113,J111)</f>
        <v>21.024530042130454</v>
      </c>
      <c r="K118" s="151">
        <f t="shared" ref="K118:N118" si="37">K112-_xlfn.CONFIDENCE.T(0.05,K113,K111)</f>
        <v>25.756819999761923</v>
      </c>
      <c r="L118" s="152">
        <f t="shared" si="37"/>
        <v>21.028988309235608</v>
      </c>
      <c r="M118" s="151">
        <f t="shared" si="37"/>
        <v>26.931684956090741</v>
      </c>
      <c r="N118" s="153">
        <f t="shared" si="37"/>
        <v>21.04566911521022</v>
      </c>
    </row>
    <row r="119" spans="1:14">
      <c r="A119" s="62"/>
      <c r="B119" s="196"/>
      <c r="C119" s="196"/>
      <c r="D119" s="200"/>
      <c r="E119" s="199"/>
      <c r="F119" s="200"/>
      <c r="G119" s="196"/>
      <c r="H119" s="123" t="s">
        <v>226</v>
      </c>
      <c r="I119" s="151">
        <f>I112+_xlfn.CONFIDENCE.T(0.05,I113,I111)</f>
        <v>137.04308628370541</v>
      </c>
      <c r="J119" s="152">
        <f>J112+_xlfn.CONFIDENCE.T(0.05,J113,J111)</f>
        <v>22.039945291202873</v>
      </c>
      <c r="K119" s="151">
        <f t="shared" ref="K119:N119" si="38">K112+_xlfn.CONFIDENCE.T(0.05,K113,K111)</f>
        <v>137.18440966690477</v>
      </c>
      <c r="L119" s="152">
        <f t="shared" si="38"/>
        <v>22.054627024097734</v>
      </c>
      <c r="M119" s="151">
        <f t="shared" si="38"/>
        <v>137.74412937724259</v>
      </c>
      <c r="N119" s="153">
        <f t="shared" si="38"/>
        <v>22.112992884789779</v>
      </c>
    </row>
    <row r="120" spans="1:14">
      <c r="A120" s="63"/>
      <c r="B120" s="196"/>
      <c r="C120" s="196"/>
      <c r="D120" s="200"/>
      <c r="E120" s="204" t="s">
        <v>42</v>
      </c>
      <c r="F120" s="200"/>
      <c r="G120" s="196"/>
      <c r="H120" s="123" t="s">
        <v>217</v>
      </c>
      <c r="I120" s="111">
        <f>COUNT('METCM (from METGC)'!J6,'METCM (from METGC)'!J15,'METCM (from METGC)'!J24,'METCM (from METGC)'!J33,'METCM (from METGC)'!J42,'METCM (from METGC)'!J51)</f>
        <v>6</v>
      </c>
      <c r="J120" s="132">
        <f>COUNT('METCM (from METGC)'!K6,'METCM (from METGC)'!K15,'METCM (from METGC)'!K24,'METCM (from METGC)'!K33,'METCM (from METGC)'!K42,'METCM (from METGC)'!K51)</f>
        <v>6</v>
      </c>
      <c r="K120" s="111">
        <f>COUNT('METCM (from METGC)'!J7,'METCM (from METGC)'!J16,'METCM (from METGC)'!J25,'METCM (from METGC)'!J34,'METCM (from METGC)'!J43,'METCM (from METGC)'!J52)</f>
        <v>6</v>
      </c>
      <c r="L120" s="132">
        <f>COUNT('METCM (from METGC)'!K7,'METCM (from METGC)'!K16,'METCM (from METGC)'!K25,'METCM (from METGC)'!K34,'METCM (from METGC)'!K43,'METCM (from METGC)'!K52)</f>
        <v>6</v>
      </c>
      <c r="M120" s="111">
        <f>COUNT('METCM (from METGC)'!J8,'METCM (from METGC)'!J17,'METCM (from METGC)'!J26,'METCM (from METGC)'!J35,'METCM (from METGC)'!J44,'METCM (from METGC)'!J53)</f>
        <v>6</v>
      </c>
      <c r="N120" s="88">
        <f>COUNT('METCM (from METGC)'!K8,'METCM (from METGC)'!K17,'METCM (from METGC)'!K26,'METCM (from METGC)'!K35,'METCM (from METGC)'!K44,'METCM (from METGC)'!K53)</f>
        <v>6</v>
      </c>
    </row>
    <row r="121" spans="1:14">
      <c r="A121" s="63"/>
      <c r="B121" s="196"/>
      <c r="C121" s="196"/>
      <c r="D121" s="200"/>
      <c r="E121" s="204"/>
      <c r="F121" s="200"/>
      <c r="G121" s="196"/>
      <c r="H121" s="123" t="s">
        <v>218</v>
      </c>
      <c r="I121" s="157">
        <f>AVERAGE('METCM (from METGC)'!J6,'METCM (from METGC)'!J15,'METCM (from METGC)'!J24,'METCM (from METGC)'!J33,'METCM (from METGC)'!J42,'METCM (from METGC)'!J51)</f>
        <v>304.1065711666667</v>
      </c>
      <c r="J121" s="158">
        <f>AVERAGE('METCM (from METGC)'!K6,'METCM (from METGC)'!K15,'METCM (from METGC)'!K24,'METCM (from METGC)'!K33,'METCM (from METGC)'!K42,'METCM (from METGC)'!K51)</f>
        <v>38.017754000000004</v>
      </c>
      <c r="K121" s="157">
        <f>AVERAGE('METCM (from METGC)'!J7,'METCM (from METGC)'!J16,'METCM (from METGC)'!J25,'METCM (from METGC)'!J34,'METCM (from METGC)'!J43,'METCM (from METGC)'!J52)</f>
        <v>305.72026483333332</v>
      </c>
      <c r="L121" s="158">
        <f>AVERAGE('METCM (from METGC)'!K7,'METCM (from METGC)'!K16,'METCM (from METGC)'!K25,'METCM (from METGC)'!K34,'METCM (from METGC)'!K43,'METCM (from METGC)'!K52)</f>
        <v>38.109257333333332</v>
      </c>
      <c r="M121" s="157">
        <f>AVERAGE('METCM (from METGC)'!J8,'METCM (from METGC)'!J17,'METCM (from METGC)'!J26,'METCM (from METGC)'!J35,'METCM (from METGC)'!J44,'METCM (from METGC)'!J53)</f>
        <v>312.01566266666669</v>
      </c>
      <c r="N121" s="159">
        <f>AVERAGE('METCM (from METGC)'!K8,'METCM (from METGC)'!K17,'METCM (from METGC)'!K26,'METCM (from METGC)'!K35,'METCM (from METGC)'!K44,'METCM (from METGC)'!K53)</f>
        <v>38.465792666666665</v>
      </c>
    </row>
    <row r="122" spans="1:14">
      <c r="A122" s="63"/>
      <c r="B122" s="196"/>
      <c r="C122" s="196"/>
      <c r="D122" s="200"/>
      <c r="E122" s="204"/>
      <c r="F122" s="200"/>
      <c r="G122" s="196"/>
      <c r="H122" s="123" t="s">
        <v>219</v>
      </c>
      <c r="I122" s="157">
        <f>_xlfn.STDEV.S('METCM (from METGC)'!J6,'METCM (from METGC)'!J15,'METCM (from METGC)'!J24,'METCM (from METGC)'!J33,'METCM (from METGC)'!J42,'METCM (from METGC)'!J51)</f>
        <v>309.14603245566224</v>
      </c>
      <c r="J122" s="158">
        <f>_xlfn.STDEV.S('METCM (from METGC)'!K6,'METCM (from METGC)'!K15,'METCM (from METGC)'!K24,'METCM (from METGC)'!K33,'METCM (from METGC)'!K42,'METCM (from METGC)'!K51)</f>
        <v>8.0513177407880132</v>
      </c>
      <c r="K122" s="157">
        <f>_xlfn.STDEV.S('METCM (from METGC)'!J7,'METCM (from METGC)'!J16,'METCM (from METGC)'!J25,'METCM (from METGC)'!J34,'METCM (from METGC)'!J43,'METCM (from METGC)'!J52)</f>
        <v>308.52497556822181</v>
      </c>
      <c r="L122" s="158">
        <f>_xlfn.STDEV.S('METCM (from METGC)'!K7,'METCM (from METGC)'!K16,'METCM (from METGC)'!K25,'METCM (from METGC)'!K34,'METCM (from METGC)'!K43,'METCM (from METGC)'!K52)</f>
        <v>8.0358689886873247</v>
      </c>
      <c r="M122" s="157">
        <f>_xlfn.STDEV.S('METCM (from METGC)'!J8,'METCM (from METGC)'!J17,'METCM (from METGC)'!J26,'METCM (from METGC)'!J35,'METCM (from METGC)'!J44,'METCM (from METGC)'!J53)</f>
        <v>306.11818987392678</v>
      </c>
      <c r="N122" s="159">
        <f>_xlfn.STDEV.S('METCM (from METGC)'!K8,'METCM (from METGC)'!K17,'METCM (from METGC)'!K26,'METCM (from METGC)'!K35,'METCM (from METGC)'!K44,'METCM (from METGC)'!K53)</f>
        <v>7.9798315184927944</v>
      </c>
    </row>
    <row r="123" spans="1:14">
      <c r="A123" s="63"/>
      <c r="B123" s="196"/>
      <c r="C123" s="196"/>
      <c r="D123" s="200"/>
      <c r="E123" s="204"/>
      <c r="F123" s="200"/>
      <c r="G123" s="196"/>
      <c r="H123" s="123" t="s">
        <v>220</v>
      </c>
      <c r="I123" s="160">
        <f>MEDIAN('METCM (from METGC)'!J6,'METCM (from METGC)'!J15,'METCM (from METGC)'!J24,'METCM (from METGC)'!J33,'METCM (from METGC)'!J42,'METCM (from METGC)'!J51)</f>
        <v>179.06652450000001</v>
      </c>
      <c r="J123" s="161">
        <f>MEDIAN('METCM (from METGC)'!K6,'METCM (from METGC)'!K15,'METCM (from METGC)'!K24,'METCM (from METGC)'!K33,'METCM (from METGC)'!K42,'METCM (from METGC)'!K51)</f>
        <v>37.084690999999999</v>
      </c>
      <c r="K123" s="160">
        <f>MEDIAN('METCM (from METGC)'!J7,'METCM (from METGC)'!J16,'METCM (from METGC)'!J25,'METCM (from METGC)'!J34,'METCM (from METGC)'!J43,'METCM (from METGC)'!J52)</f>
        <v>180.93938</v>
      </c>
      <c r="L123" s="161">
        <f>MEDIAN('METCM (from METGC)'!K7,'METCM (from METGC)'!K16,'METCM (from METGC)'!K25,'METCM (from METGC)'!K34,'METCM (from METGC)'!K43,'METCM (from METGC)'!K52)</f>
        <v>37.2181785</v>
      </c>
      <c r="M123" s="160">
        <f>MEDIAN('METCM (from METGC)'!J8,'METCM (from METGC)'!J17,'METCM (from METGC)'!J26,'METCM (from METGC)'!J35,'METCM (from METGC)'!J44,'METCM (from METGC)'!J53)</f>
        <v>188.2386635</v>
      </c>
      <c r="N123" s="162">
        <f>MEDIAN('METCM (from METGC)'!K8,'METCM (from METGC)'!K17,'METCM (from METGC)'!K26,'METCM (from METGC)'!K35,'METCM (from METGC)'!K44,'METCM (from METGC)'!K53)</f>
        <v>37.737792499999998</v>
      </c>
    </row>
    <row r="124" spans="1:14">
      <c r="A124" s="63"/>
      <c r="B124" s="196"/>
      <c r="C124" s="196"/>
      <c r="D124" s="200"/>
      <c r="E124" s="204"/>
      <c r="F124" s="200"/>
      <c r="G124" s="196"/>
      <c r="H124" s="123" t="s">
        <v>221</v>
      </c>
      <c r="I124" s="160">
        <f ca="1">_xlfn.QUARTILE.INC(('METCM (from METGC)'!J6,'METCM (from METGC)'!J15,'METCM (from METGC)'!J24,'METCM (from METGC)'!J33,'METCM (from METGC)'!J42,'METCM (from METGC)'!J51),1)</f>
        <v>176.97826275</v>
      </c>
      <c r="J124" s="161">
        <f ca="1">_xlfn.QUARTILE.INC(('METCM (from METGC)'!K6,'METCM (from METGC)'!K15,'METCM (from METGC)'!K24,'METCM (from METGC)'!K33,'METCM (from METGC)'!K42,'METCM (from METGC)'!K51),1)</f>
        <v>33.683277750000002</v>
      </c>
      <c r="K124" s="160">
        <f ca="1">_xlfn.QUARTILE.INC(('METCM (from METGC)'!J7,'METCM (from METGC)'!J16,'METCM (from METGC)'!J25,'METCM (from METGC)'!J34,'METCM (from METGC)'!J43,'METCM (from METGC)'!J52),1)</f>
        <v>178.84103475000001</v>
      </c>
      <c r="L124" s="161">
        <f ca="1">_xlfn.QUARTILE.INC(('METCM (from METGC)'!K7,'METCM (from METGC)'!K16,'METCM (from METGC)'!K25,'METCM (from METGC)'!K34,'METCM (from METGC)'!K43,'METCM (from METGC)'!K52),1)</f>
        <v>33.775473000000005</v>
      </c>
      <c r="M124" s="160">
        <f ca="1">_xlfn.QUARTILE.INC(('METCM (from METGC)'!J8,'METCM (from METGC)'!J17,'METCM (from METGC)'!J26,'METCM (from METGC)'!J35,'METCM (from METGC)'!J44,'METCM (from METGC)'!J53),1)</f>
        <v>186.10203899999999</v>
      </c>
      <c r="N124" s="162">
        <f ca="1">_xlfn.QUARTILE.INC(('METCM (from METGC)'!K8,'METCM (from METGC)'!K17,'METCM (from METGC)'!K26,'METCM (from METGC)'!K35,'METCM (from METGC)'!K44,'METCM (from METGC)'!K53),1)</f>
        <v>34.135083000000002</v>
      </c>
    </row>
    <row r="125" spans="1:14">
      <c r="A125" s="63"/>
      <c r="B125" s="196"/>
      <c r="C125" s="196"/>
      <c r="D125" s="200"/>
      <c r="E125" s="204"/>
      <c r="F125" s="200"/>
      <c r="G125" s="196"/>
      <c r="H125" s="123" t="s">
        <v>222</v>
      </c>
      <c r="I125" s="160">
        <f ca="1">_xlfn.QUARTILE.INC(('METCM (from METGC)'!J6,'METCM (from METGC)'!J15,'METCM (from METGC)'!J24,'METCM (from METGC)'!J33,'METCM (from METGC)'!J42,'METCM (from METGC)'!J51),3)</f>
        <v>180.1672695</v>
      </c>
      <c r="J125" s="161">
        <f ca="1">_xlfn.QUARTILE.INC(('METCM (from METGC)'!K6,'METCM (from METGC)'!K15,'METCM (from METGC)'!K24,'METCM (from METGC)'!K33,'METCM (from METGC)'!K42,'METCM (from METGC)'!K51),3)</f>
        <v>38.831858499999996</v>
      </c>
      <c r="K125" s="160">
        <f ca="1">_xlfn.QUARTILE.INC(('METCM (from METGC)'!J7,'METCM (from METGC)'!J16,'METCM (from METGC)'!J25,'METCM (from METGC)'!J34,'METCM (from METGC)'!J43,'METCM (from METGC)'!J52),3)</f>
        <v>182.04548275000002</v>
      </c>
      <c r="L125" s="161">
        <f ca="1">_xlfn.QUARTILE.INC(('METCM (from METGC)'!K7,'METCM (from METGC)'!K16,'METCM (from METGC)'!K25,'METCM (from METGC)'!K34,'METCM (from METGC)'!K43,'METCM (from METGC)'!K52),3)</f>
        <v>38.985694499999994</v>
      </c>
      <c r="M125" s="160">
        <f ca="1">_xlfn.QUARTILE.INC(('METCM (from METGC)'!J8,'METCM (from METGC)'!J17,'METCM (from METGC)'!J26,'METCM (from METGC)'!J35,'METCM (from METGC)'!J44,'METCM (from METGC)'!J53),3)</f>
        <v>189.36510850000002</v>
      </c>
      <c r="N125" s="162">
        <f ca="1">_xlfn.QUARTILE.INC(('METCM (from METGC)'!K8,'METCM (from METGC)'!K17,'METCM (from METGC)'!K26,'METCM (from METGC)'!K35,'METCM (from METGC)'!K44,'METCM (from METGC)'!K53),3)</f>
        <v>39.584029000000001</v>
      </c>
    </row>
    <row r="126" spans="1:14">
      <c r="A126" s="63"/>
      <c r="B126" s="196"/>
      <c r="C126" s="196"/>
      <c r="D126" s="200"/>
      <c r="E126" s="204"/>
      <c r="F126" s="200"/>
      <c r="G126" s="196"/>
      <c r="H126" s="123" t="s">
        <v>224</v>
      </c>
      <c r="I126" s="160">
        <f ca="1">I125-I124</f>
        <v>3.1890067500000043</v>
      </c>
      <c r="J126" s="161">
        <f ca="1">J125-J124</f>
        <v>5.1485807499999936</v>
      </c>
      <c r="K126" s="160">
        <f t="shared" ref="K126:N126" ca="1" si="39">K125-K124</f>
        <v>3.2044480000000135</v>
      </c>
      <c r="L126" s="161">
        <f t="shared" ca="1" si="39"/>
        <v>5.2102214999999887</v>
      </c>
      <c r="M126" s="160">
        <f t="shared" ca="1" si="39"/>
        <v>3.2630695000000287</v>
      </c>
      <c r="N126" s="162">
        <f t="shared" ca="1" si="39"/>
        <v>5.4489459999999994</v>
      </c>
    </row>
    <row r="127" spans="1:14">
      <c r="A127" s="63"/>
      <c r="B127" s="196"/>
      <c r="C127" s="196"/>
      <c r="D127" s="200"/>
      <c r="E127" s="204"/>
      <c r="F127" s="200"/>
      <c r="G127" s="196"/>
      <c r="H127" s="123" t="s">
        <v>225</v>
      </c>
      <c r="I127" s="160">
        <f>I121-_xlfn.CONFIDENCE.T(0.05,I122,I120)</f>
        <v>-20.322293224746034</v>
      </c>
      <c r="J127" s="161">
        <f>J121-_xlfn.CONFIDENCE.T(0.05,J122,J120)</f>
        <v>29.568414214690243</v>
      </c>
      <c r="K127" s="160">
        <f t="shared" ref="K127:N127" si="40">K121-_xlfn.CONFIDENCE.T(0.05,K122,K120)</f>
        <v>-18.056840325996518</v>
      </c>
      <c r="L127" s="161">
        <f t="shared" si="40"/>
        <v>29.676130019069952</v>
      </c>
      <c r="M127" s="160">
        <f t="shared" si="40"/>
        <v>-9.2356758074781737</v>
      </c>
      <c r="N127" s="162">
        <f t="shared" si="40"/>
        <v>30.091473070795033</v>
      </c>
    </row>
    <row r="128" spans="1:14">
      <c r="A128" s="63"/>
      <c r="B128" s="196"/>
      <c r="C128" s="196"/>
      <c r="D128" s="200"/>
      <c r="E128" s="204"/>
      <c r="F128" s="200"/>
      <c r="G128" s="196"/>
      <c r="H128" s="123" t="s">
        <v>226</v>
      </c>
      <c r="I128" s="160">
        <f>I121+_xlfn.CONFIDENCE.T(0.05,I122,I120)</f>
        <v>628.53543555807937</v>
      </c>
      <c r="J128" s="161">
        <f>J121+_xlfn.CONFIDENCE.T(0.05,J122,J120)</f>
        <v>46.467093785309764</v>
      </c>
      <c r="K128" s="160">
        <f t="shared" ref="K128:N128" si="41">K121+_xlfn.CONFIDENCE.T(0.05,K122,K120)</f>
        <v>629.49736999266315</v>
      </c>
      <c r="L128" s="161">
        <f t="shared" si="41"/>
        <v>46.542384647596712</v>
      </c>
      <c r="M128" s="160">
        <f t="shared" si="41"/>
        <v>633.26700114081154</v>
      </c>
      <c r="N128" s="162">
        <f t="shared" si="41"/>
        <v>46.840112262538298</v>
      </c>
    </row>
    <row r="129" spans="1:14">
      <c r="A129" s="46"/>
      <c r="B129" s="196"/>
      <c r="C129" s="196"/>
      <c r="D129" s="200"/>
      <c r="E129" s="206" t="s">
        <v>47</v>
      </c>
      <c r="F129" s="200"/>
      <c r="G129" s="196"/>
      <c r="H129" s="123" t="s">
        <v>217</v>
      </c>
      <c r="I129" s="97">
        <f>COUNT('METCM (from METGC)'!J9,'METCM (from METGC)'!J18,'METCM (from METGC)'!J27,'METCM (from METGC)'!J36,'METCM (from METGC)'!J45,'METCM (from METGC)'!J54)</f>
        <v>6</v>
      </c>
      <c r="J129" s="135">
        <f>COUNT('METCM (from METGC)'!K9,'METCM (from METGC)'!K18,'METCM (from METGC)'!K27,'METCM (from METGC)'!K36,'METCM (from METGC)'!K45,'METCM (from METGC)'!K54)</f>
        <v>6</v>
      </c>
      <c r="K129" s="97">
        <f>COUNT('METCM (from METGC)'!J10,'METCM (from METGC)'!J19,'METCM (from METGC)'!J28,'METCM (from METGC)'!J37,'METCM (from METGC)'!J46,'METCM (from METGC)'!J55)</f>
        <v>6</v>
      </c>
      <c r="L129" s="135">
        <f>COUNT('METCM (from METGC)'!K10,'METCM (from METGC)'!K19,'METCM (from METGC)'!K28,'METCM (from METGC)'!K37,'METCM (from METGC)'!K46,'METCM (from METGC)'!K55)</f>
        <v>6</v>
      </c>
      <c r="M129" s="97">
        <f>COUNT('METCM (from METGC)'!J11,'METCM (from METGC)'!J20,'METCM (from METGC)'!J29,'METCM (from METGC)'!J38,'METCM (from METGC)'!J47,'METCM (from METGC)'!J56)</f>
        <v>6</v>
      </c>
      <c r="N129" s="90">
        <f>COUNT('METCM (from METGC)'!K11,'METCM (from METGC)'!K20,'METCM (from METGC)'!K29,'METCM (from METGC)'!K38,'METCM (from METGC)'!K47,'METCM (from METGC)'!K56)</f>
        <v>6</v>
      </c>
    </row>
    <row r="130" spans="1:14">
      <c r="A130" s="46"/>
      <c r="B130" s="196"/>
      <c r="C130" s="196"/>
      <c r="D130" s="200"/>
      <c r="E130" s="206"/>
      <c r="F130" s="200"/>
      <c r="G130" s="196"/>
      <c r="H130" s="123" t="s">
        <v>218</v>
      </c>
      <c r="I130" s="169">
        <f>AVERAGE('METCM (from METGC)'!J9,'METCM (from METGC)'!J18,'METCM (from METGC)'!J27,'METCM (from METGC)'!J36,'METCM (from METGC)'!J45,'METCM (from METGC)'!J54)</f>
        <v>577.54438649999997</v>
      </c>
      <c r="J130" s="170">
        <f>AVERAGE('METCM (from METGC)'!K9,'METCM (from METGC)'!K18,'METCM (from METGC)'!K27,'METCM (from METGC)'!K36,'METCM (from METGC)'!K45,'METCM (from METGC)'!K54)</f>
        <v>66.136476833333333</v>
      </c>
      <c r="K130" s="169">
        <f>AVERAGE('METCM (from METGC)'!J10,'METCM (from METGC)'!J19,'METCM (from METGC)'!J28,'METCM (from METGC)'!J37,'METCM (from METGC)'!J46,'METCM (from METGC)'!J55)</f>
        <v>580.6995331666667</v>
      </c>
      <c r="L130" s="170">
        <f>AVERAGE('METCM (from METGC)'!K10,'METCM (from METGC)'!K19,'METCM (from METGC)'!K28,'METCM (from METGC)'!K37,'METCM (from METGC)'!K46,'METCM (from METGC)'!K55)</f>
        <v>66.395421333333331</v>
      </c>
      <c r="M130" s="169">
        <f>AVERAGE('METCM (from METGC)'!J11,'METCM (from METGC)'!J20,'METCM (from METGC)'!J29,'METCM (from METGC)'!J38,'METCM (from METGC)'!J47,'METCM (from METGC)'!J56)</f>
        <v>592.99692749999997</v>
      </c>
      <c r="N130" s="171">
        <f>AVERAGE('METCM (from METGC)'!K11,'METCM (from METGC)'!K20,'METCM (from METGC)'!K29,'METCM (from METGC)'!K38,'METCM (from METGC)'!K47,'METCM (from METGC)'!K56)</f>
        <v>67.399188499999994</v>
      </c>
    </row>
    <row r="131" spans="1:14">
      <c r="A131" s="46"/>
      <c r="B131" s="196"/>
      <c r="C131" s="196"/>
      <c r="D131" s="200"/>
      <c r="E131" s="206"/>
      <c r="F131" s="200"/>
      <c r="G131" s="196"/>
      <c r="H131" s="123" t="s">
        <v>219</v>
      </c>
      <c r="I131" s="169">
        <f>_xlfn.STDEV.S('METCM (from METGC)'!J9,'METCM (from METGC)'!J18,'METCM (from METGC)'!J27,'METCM (from METGC)'!J36,'METCM (from METGC)'!J45,'METCM (from METGC)'!J54)</f>
        <v>593.71258685977205</v>
      </c>
      <c r="J131" s="170">
        <f>_xlfn.STDEV.S('METCM (from METGC)'!K9,'METCM (from METGC)'!K18,'METCM (from METGC)'!K27,'METCM (from METGC)'!K36,'METCM (from METGC)'!K45,'METCM (from METGC)'!K54)</f>
        <v>23.46300909531853</v>
      </c>
      <c r="K131" s="169">
        <f>_xlfn.STDEV.S('METCM (from METGC)'!J10,'METCM (from METGC)'!J19,'METCM (from METGC)'!J28,'METCM (from METGC)'!J37,'METCM (from METGC)'!J46,'METCM (from METGC)'!J55)</f>
        <v>592.49272286360701</v>
      </c>
      <c r="L131" s="170">
        <f>_xlfn.STDEV.S('METCM (from METGC)'!K10,'METCM (from METGC)'!K19,'METCM (from METGC)'!K28,'METCM (from METGC)'!K37,'METCM (from METGC)'!K46,'METCM (from METGC)'!K55)</f>
        <v>23.640359158931059</v>
      </c>
      <c r="M131" s="169">
        <f>_xlfn.STDEV.S('METCM (from METGC)'!J11,'METCM (from METGC)'!J20,'METCM (from METGC)'!J29,'METCM (from METGC)'!J38,'METCM (from METGC)'!J47,'METCM (from METGC)'!J56)</f>
        <v>587.77030471354669</v>
      </c>
      <c r="N131" s="171">
        <f>_xlfn.STDEV.S('METCM (from METGC)'!K11,'METCM (from METGC)'!K20,'METCM (from METGC)'!K29,'METCM (from METGC)'!K38,'METCM (from METGC)'!K47,'METCM (from METGC)'!K56)</f>
        <v>24.336653678301545</v>
      </c>
    </row>
    <row r="132" spans="1:14">
      <c r="A132" s="46"/>
      <c r="B132" s="196"/>
      <c r="C132" s="196"/>
      <c r="D132" s="200"/>
      <c r="E132" s="206"/>
      <c r="F132" s="200"/>
      <c r="G132" s="196"/>
      <c r="H132" s="123" t="s">
        <v>220</v>
      </c>
      <c r="I132" s="172">
        <f>MEDIAN('METCM (from METGC)'!J9,'METCM (from METGC)'!J18,'METCM (from METGC)'!J27,'METCM (from METGC)'!J36,'METCM (from METGC)'!J45,'METCM (from METGC)'!J54)</f>
        <v>333.521455</v>
      </c>
      <c r="J132" s="173">
        <f>MEDIAN('METCM (from METGC)'!K9,'METCM (from METGC)'!K18,'METCM (from METGC)'!K27,'METCM (from METGC)'!K36,'METCM (from METGC)'!K45,'METCM (from METGC)'!K54)</f>
        <v>62.155734000000002</v>
      </c>
      <c r="K132" s="172">
        <f>MEDIAN('METCM (from METGC)'!J10,'METCM (from METGC)'!J19,'METCM (from METGC)'!J28,'METCM (from METGC)'!J37,'METCM (from METGC)'!J46,'METCM (from METGC)'!J55)</f>
        <v>337.16678350000001</v>
      </c>
      <c r="L132" s="173">
        <f>MEDIAN('METCM (from METGC)'!K10,'METCM (from METGC)'!K19,'METCM (from METGC)'!K28,'METCM (from METGC)'!K37,'METCM (from METGC)'!K46,'METCM (from METGC)'!K55)</f>
        <v>62.469046500000005</v>
      </c>
      <c r="M132" s="172">
        <f>MEDIAN('METCM (from METGC)'!J11,'METCM (from METGC)'!J20,'METCM (from METGC)'!J29,'METCM (from METGC)'!J38,'METCM (from METGC)'!J47,'METCM (from METGC)'!J56)</f>
        <v>351.36231850000001</v>
      </c>
      <c r="N132" s="174">
        <f>MEDIAN('METCM (from METGC)'!K11,'METCM (from METGC)'!K20,'METCM (from METGC)'!K29,'METCM (from METGC)'!K38,'METCM (from METGC)'!K47,'METCM (from METGC)'!K56)</f>
        <v>63.684467499999997</v>
      </c>
    </row>
    <row r="133" spans="1:14">
      <c r="A133" s="46"/>
      <c r="B133" s="196"/>
      <c r="C133" s="196"/>
      <c r="D133" s="200"/>
      <c r="E133" s="206"/>
      <c r="F133" s="200"/>
      <c r="G133" s="196"/>
      <c r="H133" s="123" t="s">
        <v>221</v>
      </c>
      <c r="I133" s="172">
        <f ca="1">_xlfn.QUARTILE.INC(('METCM (from METGC)'!J9,'METCM (from METGC)'!J18,'METCM (from METGC)'!J27,'METCM (from METGC)'!J36,'METCM (from METGC)'!J45,'METCM (from METGC)'!J54),1)</f>
        <v>329.75126725000001</v>
      </c>
      <c r="J133" s="173">
        <f ca="1">_xlfn.QUARTILE.INC(('METCM (from METGC)'!K9,'METCM (from METGC)'!K18,'METCM (from METGC)'!K27,'METCM (from METGC)'!K36,'METCM (from METGC)'!K45,'METCM (from METGC)'!K54),1)</f>
        <v>50.516346999999996</v>
      </c>
      <c r="K133" s="172">
        <f ca="1">_xlfn.QUARTILE.INC(('METCM (from METGC)'!J10,'METCM (from METGC)'!J19,'METCM (from METGC)'!J28,'METCM (from METGC)'!J37,'METCM (from METGC)'!J46,'METCM (from METGC)'!J55),1)</f>
        <v>333.38017824999997</v>
      </c>
      <c r="L133" s="173">
        <f ca="1">_xlfn.QUARTILE.INC(('METCM (from METGC)'!K10,'METCM (from METGC)'!K19,'METCM (from METGC)'!K28,'METCM (from METGC)'!K37,'METCM (from METGC)'!K46,'METCM (from METGC)'!K55),1)</f>
        <v>50.702189000000004</v>
      </c>
      <c r="M133" s="172">
        <f ca="1">_xlfn.QUARTILE.INC(('METCM (from METGC)'!J11,'METCM (from METGC)'!J20,'METCM (from METGC)'!J29,'METCM (from METGC)'!J38,'METCM (from METGC)'!J47,'METCM (from METGC)'!J56),1)</f>
        <v>347.51323824999997</v>
      </c>
      <c r="N133" s="174">
        <f ca="1">_xlfn.QUARTILE.INC(('METCM (from METGC)'!K11,'METCM (from METGC)'!K20,'METCM (from METGC)'!K29,'METCM (from METGC)'!K38,'METCM (from METGC)'!K47,'METCM (from METGC)'!K56),1)</f>
        <v>51.425299750000001</v>
      </c>
    </row>
    <row r="134" spans="1:14">
      <c r="A134" s="46"/>
      <c r="B134" s="196"/>
      <c r="C134" s="196"/>
      <c r="D134" s="200"/>
      <c r="E134" s="206"/>
      <c r="F134" s="200"/>
      <c r="G134" s="196"/>
      <c r="H134" s="123" t="s">
        <v>222</v>
      </c>
      <c r="I134" s="172">
        <f ca="1">_xlfn.QUARTILE.INC(('METCM (from METGC)'!J9,'METCM (from METGC)'!J18,'METCM (from METGC)'!J27,'METCM (from METGC)'!J36,'METCM (from METGC)'!J45,'METCM (from METGC)'!J54),3)</f>
        <v>348.52400499999999</v>
      </c>
      <c r="J134" s="173">
        <f ca="1">_xlfn.QUARTILE.INC(('METCM (from METGC)'!K9,'METCM (from METGC)'!K18,'METCM (from METGC)'!K27,'METCM (from METGC)'!K36,'METCM (from METGC)'!K45,'METCM (from METGC)'!K54),3)</f>
        <v>76.738118</v>
      </c>
      <c r="K134" s="172">
        <f ca="1">_xlfn.QUARTILE.INC(('METCM (from METGC)'!J10,'METCM (from METGC)'!J19,'METCM (from METGC)'!J28,'METCM (from METGC)'!J37,'METCM (from METGC)'!J46,'METCM (from METGC)'!J55),3)</f>
        <v>352.23785500000002</v>
      </c>
      <c r="L134" s="173">
        <f ca="1">_xlfn.QUARTILE.INC(('METCM (from METGC)'!K10,'METCM (from METGC)'!K19,'METCM (from METGC)'!K28,'METCM (from METGC)'!K37,'METCM (from METGC)'!K46,'METCM (from METGC)'!K55),3)</f>
        <v>76.83789625</v>
      </c>
      <c r="M134" s="172">
        <f ca="1">_xlfn.QUARTILE.INC(('METCM (from METGC)'!J11,'METCM (from METGC)'!J20,'METCM (from METGC)'!J29,'METCM (from METGC)'!J38,'METCM (from METGC)'!J47,'METCM (from METGC)'!J56),3)</f>
        <v>366.69424149999998</v>
      </c>
      <c r="N134" s="174">
        <f ca="1">_xlfn.QUARTILE.INC(('METCM (from METGC)'!K11,'METCM (from METGC)'!K20,'METCM (from METGC)'!K29,'METCM (from METGC)'!K38,'METCM (from METGC)'!K47,'METCM (from METGC)'!K56),3)</f>
        <v>77.226118749999998</v>
      </c>
    </row>
    <row r="135" spans="1:14">
      <c r="A135" s="46"/>
      <c r="B135" s="196"/>
      <c r="C135" s="196"/>
      <c r="D135" s="200"/>
      <c r="E135" s="206"/>
      <c r="F135" s="200"/>
      <c r="G135" s="196"/>
      <c r="H135" s="123" t="s">
        <v>224</v>
      </c>
      <c r="I135" s="172">
        <f ca="1">I134-I133</f>
        <v>18.772737749999976</v>
      </c>
      <c r="J135" s="173">
        <f ca="1">J134-J133</f>
        <v>26.221771000000004</v>
      </c>
      <c r="K135" s="172">
        <f t="shared" ref="K135:N135" ca="1" si="42">K134-K133</f>
        <v>18.857676750000053</v>
      </c>
      <c r="L135" s="173">
        <f t="shared" ca="1" si="42"/>
        <v>26.135707249999996</v>
      </c>
      <c r="M135" s="172">
        <f t="shared" ca="1" si="42"/>
        <v>19.181003250000003</v>
      </c>
      <c r="N135" s="174">
        <f t="shared" ca="1" si="42"/>
        <v>25.800818999999997</v>
      </c>
    </row>
    <row r="136" spans="1:14">
      <c r="A136" s="46"/>
      <c r="B136" s="196"/>
      <c r="C136" s="196"/>
      <c r="D136" s="200"/>
      <c r="E136" s="206"/>
      <c r="F136" s="200"/>
      <c r="G136" s="196"/>
      <c r="H136" s="123" t="s">
        <v>225</v>
      </c>
      <c r="I136" s="172">
        <f>I130-_xlfn.CONFIDENCE.T(0.05,I131,I129)</f>
        <v>-45.518762005485314</v>
      </c>
      <c r="J136" s="173">
        <f>J130-_xlfn.CONFIDENCE.T(0.05,J131,J129)</f>
        <v>41.513558869502418</v>
      </c>
      <c r="K136" s="172">
        <f t="shared" ref="K136:N136" si="43">K130-_xlfn.CONFIDENCE.T(0.05,K131,K129)</f>
        <v>-41.083446585416937</v>
      </c>
      <c r="L136" s="173">
        <f t="shared" si="43"/>
        <v>41.586385892009616</v>
      </c>
      <c r="M136" s="172">
        <f t="shared" si="43"/>
        <v>-23.830178338918813</v>
      </c>
      <c r="N136" s="174">
        <f t="shared" si="43"/>
        <v>41.859436774184644</v>
      </c>
    </row>
    <row r="137" spans="1:14">
      <c r="A137" s="47"/>
      <c r="B137" s="197"/>
      <c r="C137" s="197"/>
      <c r="D137" s="201"/>
      <c r="E137" s="207"/>
      <c r="F137" s="201"/>
      <c r="G137" s="197"/>
      <c r="H137" s="124" t="s">
        <v>226</v>
      </c>
      <c r="I137" s="181">
        <f>I130+_xlfn.CONFIDENCE.T(0.05,I131,I129)</f>
        <v>1200.6075350054853</v>
      </c>
      <c r="J137" s="182">
        <f>J130+_xlfn.CONFIDENCE.T(0.05,J131,J129)</f>
        <v>90.759394797164248</v>
      </c>
      <c r="K137" s="181">
        <f t="shared" ref="K137:N137" si="44">K130+_xlfn.CONFIDENCE.T(0.05,K131,K129)</f>
        <v>1202.4825129187502</v>
      </c>
      <c r="L137" s="182">
        <f t="shared" si="44"/>
        <v>91.204456774657046</v>
      </c>
      <c r="M137" s="181">
        <f t="shared" si="44"/>
        <v>1209.8240333389188</v>
      </c>
      <c r="N137" s="183">
        <f t="shared" si="44"/>
        <v>92.938940225815344</v>
      </c>
    </row>
  </sheetData>
  <mergeCells count="51">
    <mergeCell ref="F1:F2"/>
    <mergeCell ref="A1:A2"/>
    <mergeCell ref="B1:B2"/>
    <mergeCell ref="C1:C2"/>
    <mergeCell ref="D1:D2"/>
    <mergeCell ref="E1:E2"/>
    <mergeCell ref="G1:G2"/>
    <mergeCell ref="H1:H2"/>
    <mergeCell ref="I1:J1"/>
    <mergeCell ref="K1:L1"/>
    <mergeCell ref="M1:N1"/>
    <mergeCell ref="G3:G29"/>
    <mergeCell ref="E12:E20"/>
    <mergeCell ref="E21:E29"/>
    <mergeCell ref="B30:B56"/>
    <mergeCell ref="C30:C56"/>
    <mergeCell ref="D30:D56"/>
    <mergeCell ref="E30:E38"/>
    <mergeCell ref="F30:F56"/>
    <mergeCell ref="G30:G56"/>
    <mergeCell ref="E39:E47"/>
    <mergeCell ref="B3:B29"/>
    <mergeCell ref="C3:C29"/>
    <mergeCell ref="D3:D29"/>
    <mergeCell ref="E3:E11"/>
    <mergeCell ref="F3:F29"/>
    <mergeCell ref="E48:E56"/>
    <mergeCell ref="B57:B83"/>
    <mergeCell ref="C57:C83"/>
    <mergeCell ref="D57:D83"/>
    <mergeCell ref="E57:E65"/>
    <mergeCell ref="G57:G83"/>
    <mergeCell ref="E66:E74"/>
    <mergeCell ref="E75:E83"/>
    <mergeCell ref="B84:B110"/>
    <mergeCell ref="C84:C110"/>
    <mergeCell ref="D84:D110"/>
    <mergeCell ref="E84:E92"/>
    <mergeCell ref="F84:F110"/>
    <mergeCell ref="G84:G110"/>
    <mergeCell ref="E93:E101"/>
    <mergeCell ref="F57:F83"/>
    <mergeCell ref="G111:G137"/>
    <mergeCell ref="E120:E128"/>
    <mergeCell ref="E129:E137"/>
    <mergeCell ref="E102:E110"/>
    <mergeCell ref="B111:B137"/>
    <mergeCell ref="C111:C137"/>
    <mergeCell ref="D111:D137"/>
    <mergeCell ref="E111:E119"/>
    <mergeCell ref="F111:F137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D58A629-D316-462A-AB57-416AF409B853}">
          <x14:formula1>
            <xm:f>'DATA - IKKE RØR'!$A$7:$A$9</xm:f>
          </x14:formula1>
          <xm:sqref>B3:B9 B111:B117 B84:B90 B30:B38 B57:B63</xm:sqref>
        </x14:dataValidation>
        <x14:dataValidation type="list" allowBlank="1" showInputMessage="1" showErrorMessage="1" xr:uid="{4F409B88-A4C1-4833-927B-D1297BCE5ACC}">
          <x14:formula1>
            <xm:f>'DATA - IKKE RØR'!$A$3:$A$5</xm:f>
          </x14:formula1>
          <xm:sqref>C3:C137</xm:sqref>
        </x14:dataValidation>
        <x14:dataValidation type="list" allowBlank="1" showInputMessage="1" showErrorMessage="1" xr:uid="{FC8E9387-7ADA-466F-8103-B314D587905E}">
          <x14:formula1>
            <xm:f>'DATA - IKKE RØR'!$L$3:$L$8</xm:f>
          </x14:formula1>
          <xm:sqref>D3:D137</xm:sqref>
        </x14:dataValidation>
        <x14:dataValidation type="list" allowBlank="1" showInputMessage="1" showErrorMessage="1" xr:uid="{546A2913-AEF8-4B64-95E1-0F4A6E5109AE}">
          <x14:formula1>
            <xm:f>'DATA - IKKE RØR'!$A$11:$A$20</xm:f>
          </x14:formula1>
          <xm:sqref>E129 E120 E111 E21 E48 E75 E102 E12 E39 E66 E93 E3 E30 E57 E84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Nils Christian Wikstrøm</cp:lastModifiedBy>
  <cp:revision/>
  <dcterms:created xsi:type="dcterms:W3CDTF">2026-04-02T20:53:02Z</dcterms:created>
  <dcterms:modified xsi:type="dcterms:W3CDTF">2026-05-19T08:08:28Z</dcterms:modified>
  <cp:category/>
  <cp:contentStatus/>
</cp:coreProperties>
</file>